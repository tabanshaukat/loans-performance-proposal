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comments2.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Payments" sheetId="2" state="visible" r:id="rId4"/>
    <sheet name="Loans (reference)" sheetId="3" state="visible" r:id="rId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EP Central</author>
  </authors>
  <commentList>
    <comment ref="A1" authorId="0">
      <text>
        <r>
          <rPr>
            <sz val="10"/>
            <rFont val="Arial"/>
            <family val="2"/>
          </rPr>
          <t xml:space="preserve">Pick the loan from the list (it comes from the Loans tab). New loans are created in EP Central first; their UID then appears here.</t>
        </r>
      </text>
    </comment>
    <comment ref="D1" authorId="0">
      <text>
        <r>
          <rPr>
            <sz val="10"/>
            <rFont val="Arial"/>
            <family val="2"/>
          </rPr>
          <t xml:space="preserve">The next number for this loan, as in the fund sheets today. UID + payment no. identifies the payment: change a row and keep the same number to correct it.</t>
        </r>
      </text>
    </comment>
    <comment ref="I1" authorId="0">
      <text>
        <r>
          <rPr>
            <sz val="10"/>
            <rFont val="Arial"/>
            <family val="2"/>
          </rPr>
          <t xml:space="preserve">RBF loans only: the revenue the payment was calculated on. Not part of the payment total.</t>
        </r>
      </text>
    </comment>
    <comment ref="N1" authorId="0">
      <text>
        <r>
          <rPr>
            <sz val="10"/>
            <rFont val="Arial"/>
            <family val="2"/>
          </rPr>
          <t xml:space="preserve">Fills itself. "Ready" means the row will be imported at the next sync.</t>
        </r>
      </text>
    </comment>
    <comment ref="O1" authorId="0">
      <text>
        <r>
          <rPr>
            <sz val="10"/>
            <rFont val="Arial"/>
            <family val="2"/>
          </rPr>
          <t xml:space="preserve">Written by EP Central after each sync. Leave blank.</t>
        </r>
      </text>
    </comment>
  </commentList>
</comments>
</file>

<file path=xl/sharedStrings.xml><?xml version="1.0" encoding="utf-8"?>
<sst xmlns="http://schemas.openxmlformats.org/spreadsheetml/2006/main" count="117" uniqueCount="88">
  <si>
    <t xml:space="preserve">EP Loan Payments: interim worksheet</t>
  </si>
  <si>
    <t xml:space="preserve">The Investment team records payments here. EP Central reads this sheet every day and updates Loans Performance. Loans themselves are created and edited in EP Central, not here.</t>
  </si>
  <si>
    <t xml:space="preserve">Which cells to edit</t>
  </si>
  <si>
    <t xml:space="preserve">Yellow, blue text</t>
  </si>
  <si>
    <t xml:space="preserve">You fill these in: Loan UID, payment no., date, amounts, tranche, invoice link, comments.</t>
  </si>
  <si>
    <t xml:space="preserve">Grey</t>
  </si>
  <si>
    <t xml:space="preserve">Fills itself from what you typed: company, loan, payment total, check. Do not type here.</t>
  </si>
  <si>
    <t xml:space="preserve">Light blue</t>
  </si>
  <si>
    <t xml:space="preserve">Written by EP Central: sync status and time, and the whole Loans (reference) tab. Do not type here.</t>
  </si>
  <si>
    <t xml:space="preserve">How to record a payment</t>
  </si>
  <si>
    <t xml:space="preserve">1. New loan?</t>
  </si>
  <si>
    <t xml:space="preserve">Create it in EP Central first (Reports &gt; Loans Performance &gt; Create &gt; New loan, or New loan on the company page). EP Central generates the Loan UID, or you can paste one you already issued. After the next sync it appears in the Loans (reference) tab.</t>
  </si>
  <si>
    <t xml:space="preserve">2. Add one row per payment</t>
  </si>
  <si>
    <t xml:space="preserve">On the Payments tab, pick the Loan UID. Company and loan fill in so you can check you picked the right one.</t>
  </si>
  <si>
    <t xml:space="preserve">3. Payment no. and date</t>
  </si>
  <si>
    <t xml:space="preserve">Use the next payment number for that loan (the Loans tab shows the last number EP Central has). Enter the date the payment was received.</t>
  </si>
  <si>
    <t xml:space="preserve">4. Amounts</t>
  </si>
  <si>
    <t xml:space="preserve">Interest, principal and any other fee, as numbers without the $ sign. Payment total adds them up. Revenue is for RBF loans only.</t>
  </si>
  <si>
    <t xml:space="preserve">5. Check column</t>
  </si>
  <si>
    <t xml:space="preserve">"Ready" means the row is complete. Anything else says what is missing.</t>
  </si>
  <si>
    <t xml:space="preserve">6. Sync</t>
  </si>
  <si>
    <t xml:space="preserve">EP Central imports Ready rows every day at 08:00 UTC, or straight away with Data Sync in Reports &gt; Loans Performance. Sync status then shows Imported, Updated, or Error with the reason.</t>
  </si>
  <si>
    <t xml:space="preserve">Rules</t>
  </si>
  <si>
    <t xml:space="preserve">Correcting a payment</t>
  </si>
  <si>
    <t xml:space="preserve">Change the row and keep the same Loan UID and payment no. The next sync updates the payment in EP Central.</t>
  </si>
  <si>
    <t xml:space="preserve">Removing a payment</t>
  </si>
  <si>
    <t xml:space="preserve">Deleting a row here does not delete the payment. Remove it in EP Central (it is logged there).</t>
  </si>
  <si>
    <t xml:space="preserve">What EP Central calculates</t>
  </si>
  <si>
    <t xml:space="preserve">Principal repaid, interest repaid, balance outstanding, the monthly principal and interest grids and the portfolio totals all come from these rows. Nothing else needs to be typed.</t>
  </si>
  <si>
    <t xml:space="preserve">Example rows</t>
  </si>
  <si>
    <t xml:space="preserve">Rows 2 to 4 on the Payments tab are examples with sample data. Delete them before real use. The Loans (reference) rows are sample data too.</t>
  </si>
  <si>
    <t xml:space="preserve">Loan UID</t>
  </si>
  <si>
    <t xml:space="preserve">Company</t>
  </si>
  <si>
    <t xml:space="preserve">Loan</t>
  </si>
  <si>
    <t xml:space="preserve">Payment no.</t>
  </si>
  <si>
    <t xml:space="preserve">Payment date</t>
  </si>
  <si>
    <t xml:space="preserve">Interest ($)</t>
  </si>
  <si>
    <t xml:space="preserve">Principal ($)</t>
  </si>
  <si>
    <t xml:space="preserve">Other fee ($)</t>
  </si>
  <si>
    <t xml:space="preserve">Revenue ($)
RBF only</t>
  </si>
  <si>
    <t xml:space="preserve">Payment total ($)</t>
  </si>
  <si>
    <t xml:space="preserve">Tranche</t>
  </si>
  <si>
    <t xml:space="preserve">Invoice link</t>
  </si>
  <si>
    <t xml:space="preserve">Comments</t>
  </si>
  <si>
    <t xml:space="preserve">Check</t>
  </si>
  <si>
    <t xml:space="preserve">Sync status</t>
  </si>
  <si>
    <t xml:space="preserve">Synced at</t>
  </si>
  <si>
    <t xml:space="preserve">b92edd73-c32e-55f7-8064-a27e9236b043</t>
  </si>
  <si>
    <t xml:space="preserve">https://docs.google.com/spreadsheets/d/EXAMPLE</t>
  </si>
  <si>
    <t xml:space="preserve">EXAMPLE ROW - delete before use</t>
  </si>
  <si>
    <t xml:space="preserve">Imported</t>
  </si>
  <si>
    <t xml:space="preserve">da903dec-65df-5064-9d90-d31a087e3e44</t>
  </si>
  <si>
    <t xml:space="preserve">caa72316-ceb7-5244-bf17-907cfa7d4856</t>
  </si>
  <si>
    <t xml:space="preserve">EXAMPLE ROW - delete before use (RBF: revenue filled in)</t>
  </si>
  <si>
    <t xml:space="preserve">Product</t>
  </si>
  <si>
    <t xml:space="preserve">Type</t>
  </si>
  <si>
    <t xml:space="preserve">Fund</t>
  </si>
  <si>
    <t xml:space="preserve">Loan no.</t>
  </si>
  <si>
    <t xml:space="preserve">Status</t>
  </si>
  <si>
    <t xml:space="preserve">Loan size ($)</t>
  </si>
  <si>
    <t xml:space="preserve">Principal outstanding ($)</t>
  </si>
  <si>
    <t xml:space="preserve">Last payment no. in EP Central</t>
  </si>
  <si>
    <t xml:space="preserve">Loan (label)</t>
  </si>
  <si>
    <t xml:space="preserve">Do not edit this tab.</t>
  </si>
  <si>
    <t xml:space="preserve">fourstars</t>
  </si>
  <si>
    <t xml:space="preserve">Funding #3</t>
  </si>
  <si>
    <t xml:space="preserve">CGA</t>
  </si>
  <si>
    <t xml:space="preserve">ECF2</t>
  </si>
  <si>
    <t xml:space="preserve">Active</t>
  </si>
  <si>
    <t xml:space="preserve">EP Central rewrites it at every sync, so a loan created in EP Central appears here with its UID.</t>
  </si>
  <si>
    <t xml:space="preserve">Summit Heat Pumps</t>
  </si>
  <si>
    <t xml:space="preserve">Funding #2</t>
  </si>
  <si>
    <t xml:space="preserve">TRL</t>
  </si>
  <si>
    <t xml:space="preserve">Rows shown are sample data.</t>
  </si>
  <si>
    <t xml:space="preserve">af336409-cad4-51c3-873f-99ceb6887000</t>
  </si>
  <si>
    <t xml:space="preserve">Soilworks Company</t>
  </si>
  <si>
    <t xml:space="preserve">Funding #1</t>
  </si>
  <si>
    <t xml:space="preserve">7e2a073d-c5df-5d35-b461-575f40191d57</t>
  </si>
  <si>
    <t xml:space="preserve">Tidal Marine</t>
  </si>
  <si>
    <t xml:space="preserve">ee1e88a2-0693-504c-949b-873428514324</t>
  </si>
  <si>
    <t xml:space="preserve">Prairie Insulation, Inc</t>
  </si>
  <si>
    <t xml:space="preserve">faba7e04-c78f-50c8-a5f2-f10fd4e5400d</t>
  </si>
  <si>
    <t xml:space="preserve">Sunpath Microgrids</t>
  </si>
  <si>
    <t xml:space="preserve">b662f24b-b65d-533e-bfa9-6df5d61a8372</t>
  </si>
  <si>
    <t xml:space="preserve">Northwind Solar</t>
  </si>
  <si>
    <t xml:space="preserve">ECF1</t>
  </si>
  <si>
    <t xml:space="preserve">Kinetiq</t>
  </si>
  <si>
    <t xml:space="preserve">RBF</t>
  </si>
</sst>
</file>

<file path=xl/styles.xml><?xml version="1.0" encoding="utf-8"?>
<styleSheet xmlns="http://schemas.openxmlformats.org/spreadsheetml/2006/main">
  <numFmts count="5">
    <numFmt numFmtId="164" formatCode="General"/>
    <numFmt numFmtId="165" formatCode="dd\-mmm\-yyyy"/>
    <numFmt numFmtId="166" formatCode="\$#,##0.00"/>
    <numFmt numFmtId="167" formatCode="dd\-mmm\-yyyy\ hh:mm"/>
    <numFmt numFmtId="168" formatCode="\$#,##0"/>
  </numFmts>
  <fonts count="16">
    <font>
      <sz val="11"/>
      <color theme="1"/>
      <name val="Calibri"/>
      <family val="2"/>
      <charset val="1"/>
    </font>
    <font>
      <sz val="10"/>
      <name val="Arial"/>
      <family val="0"/>
    </font>
    <font>
      <sz val="10"/>
      <name val="Arial"/>
      <family val="0"/>
    </font>
    <font>
      <sz val="10"/>
      <name val="Arial"/>
      <family val="0"/>
    </font>
    <font>
      <b val="true"/>
      <sz val="16"/>
      <color rgb="FF1F2A44"/>
      <name val="Arial"/>
      <family val="0"/>
      <charset val="1"/>
    </font>
    <font>
      <sz val="10"/>
      <color rgb="FF4B5772"/>
      <name val="Arial"/>
      <family val="0"/>
      <charset val="1"/>
    </font>
    <font>
      <b val="true"/>
      <sz val="12"/>
      <color rgb="FF1F2A44"/>
      <name val="Arial"/>
      <family val="0"/>
      <charset val="1"/>
    </font>
    <font>
      <b val="true"/>
      <sz val="10"/>
      <color rgb="FF1F2A44"/>
      <name val="Arial"/>
      <family val="0"/>
      <charset val="1"/>
    </font>
    <font>
      <b val="true"/>
      <sz val="10"/>
      <color rgb="FFFFFFFF"/>
      <name val="Arial"/>
      <family val="0"/>
      <charset val="1"/>
    </font>
    <font>
      <sz val="9"/>
      <color rgb="FF0000FF"/>
      <name val="Courier New"/>
      <family val="0"/>
      <charset val="1"/>
    </font>
    <font>
      <sz val="10"/>
      <name val="Arial"/>
      <family val="0"/>
      <charset val="1"/>
    </font>
    <font>
      <sz val="10"/>
      <color rgb="FF0000FF"/>
      <name val="Arial"/>
      <family val="0"/>
      <charset val="1"/>
    </font>
    <font>
      <sz val="10"/>
      <name val="Arial"/>
      <family val="2"/>
    </font>
    <font>
      <b val="true"/>
      <sz val="10"/>
      <color rgb="FFB42318"/>
      <name val="Arial"/>
      <family val="0"/>
      <charset val="1"/>
    </font>
    <font>
      <sz val="9"/>
      <name val="Courier New"/>
      <family val="0"/>
      <charset val="1"/>
    </font>
    <font>
      <i val="true"/>
      <sz val="10"/>
      <color rgb="FF7D879C"/>
      <name val="Arial"/>
      <family val="0"/>
      <charset val="1"/>
    </font>
  </fonts>
  <fills count="8">
    <fill>
      <patternFill patternType="none"/>
    </fill>
    <fill>
      <patternFill patternType="gray125"/>
    </fill>
    <fill>
      <patternFill patternType="solid">
        <fgColor rgb="FFFFF9D6"/>
        <bgColor rgb="FFFFFFFF"/>
      </patternFill>
    </fill>
    <fill>
      <patternFill patternType="solid">
        <fgColor rgb="FFEEF1F6"/>
        <bgColor rgb="FFE4F0FB"/>
      </patternFill>
    </fill>
    <fill>
      <patternFill patternType="solid">
        <fgColor rgb="FFE4F0FB"/>
        <bgColor rgb="FFEEF1F6"/>
      </patternFill>
    </fill>
    <fill>
      <patternFill patternType="solid">
        <fgColor rgb="FF1F2A44"/>
        <bgColor rgb="FF003366"/>
      </patternFill>
    </fill>
    <fill>
      <patternFill patternType="solid">
        <fgColor rgb="FF6B7690"/>
        <bgColor rgb="FF7D879C"/>
      </patternFill>
    </fill>
    <fill>
      <patternFill patternType="solid">
        <fgColor rgb="FF2E5FD6"/>
        <bgColor rgb="FF0066CC"/>
      </patternFill>
    </fill>
  </fills>
  <borders count="2">
    <border diagonalUp="false" diagonalDown="false">
      <left/>
      <right/>
      <top/>
      <bottom/>
      <diagonal/>
    </border>
    <border diagonalUp="false" diagonalDown="false">
      <left style="thin">
        <color rgb="FFDFE5EE"/>
      </left>
      <right style="thin">
        <color rgb="FFDFE5EE"/>
      </right>
      <top style="thin">
        <color rgb="FFDFE5EE"/>
      </top>
      <bottom style="thin">
        <color rgb="FFDFE5E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6" borderId="1" xfId="0" applyFont="true" applyBorder="true" applyAlignment="true" applyProtection="false">
      <alignment horizontal="general" vertical="center" textRotation="0" wrapText="true" indent="0" shrinkToFit="false"/>
      <protection locked="true" hidden="false"/>
    </xf>
    <xf numFmtId="164" fontId="8" fillId="7"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5" fontId="11" fillId="2" borderId="1" xfId="0" applyFont="true" applyBorder="true" applyAlignment="false" applyProtection="false">
      <alignment horizontal="general" vertical="bottom" textRotation="0" wrapText="false" indent="0" shrinkToFit="false"/>
      <protection locked="true" hidden="false"/>
    </xf>
    <xf numFmtId="166" fontId="11" fillId="2"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68" fontId="10"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b val="1"/>
        <color rgb="FF0A8C6E"/>
        <sz val="10"/>
      </font>
      <fill>
        <patternFill>
          <bgColor rgb="FFD9F5EA"/>
        </patternFill>
      </fill>
    </dxf>
    <dxf>
      <font>
        <name val="Arial"/>
        <charset val="1"/>
        <family val="0"/>
        <b val="1"/>
        <color rgb="FFB42318"/>
        <sz val="10"/>
      </font>
      <fill>
        <patternFill>
          <bgColor rgb="FFFDE2E1"/>
        </patternFill>
      </fill>
    </dxf>
    <dxf>
      <font>
        <name val="Arial"/>
        <charset val="1"/>
        <family val="0"/>
        <b val="1"/>
        <color rgb="FFB42318"/>
        <sz val="1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A8C6E"/>
      <rgbColor rgb="FFC0C0C0"/>
      <rgbColor rgb="FF7D879C"/>
      <rgbColor rgb="FF9999FF"/>
      <rgbColor rgb="FF993366"/>
      <rgbColor rgb="FFFFF9D6"/>
      <rgbColor rgb="FFD9F5EA"/>
      <rgbColor rgb="FF660066"/>
      <rgbColor rgb="FFFF8080"/>
      <rgbColor rgb="FF0066CC"/>
      <rgbColor rgb="FFDFE5EE"/>
      <rgbColor rgb="FF000080"/>
      <rgbColor rgb="FFFF00FF"/>
      <rgbColor rgb="FFFFFF00"/>
      <rgbColor rgb="FF00FFFF"/>
      <rgbColor rgb="FF800080"/>
      <rgbColor rgb="FF800000"/>
      <rgbColor rgb="FF008080"/>
      <rgbColor rgb="FF0000FF"/>
      <rgbColor rgb="FF00CCFF"/>
      <rgbColor rgb="FFE4F0FB"/>
      <rgbColor rgb="FFEEF1F6"/>
      <rgbColor rgb="FFFFFF99"/>
      <rgbColor rgb="FF99CCFF"/>
      <rgbColor rgb="FFFF99CC"/>
      <rgbColor rgb="FFCC99FF"/>
      <rgbColor rgb="FFFDE2E1"/>
      <rgbColor rgb="FF2E5FD6"/>
      <rgbColor rgb="FF33CCCC"/>
      <rgbColor rgb="FF99CC00"/>
      <rgbColor rgb="FFFFCC00"/>
      <rgbColor rgb="FFFF9900"/>
      <rgbColor rgb="FFFF6600"/>
      <rgbColor rgb="FF6B7690"/>
      <rgbColor rgb="FF969696"/>
      <rgbColor rgb="FF003366"/>
      <rgbColor rgb="FF339966"/>
      <rgbColor rgb="FF003300"/>
      <rgbColor rgb="FF333300"/>
      <rgbColor rgb="FFB42318"/>
      <rgbColor rgb="FF993366"/>
      <rgbColor rgb="FF4B5772"/>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96"/>
  </cols>
  <sheetData>
    <row r="2" customFormat="false" ht="19.7" hidden="false" customHeight="true" outlineLevel="0" collapsed="false">
      <c r="B2" s="1" t="s">
        <v>0</v>
      </c>
      <c r="C2" s="1"/>
    </row>
    <row r="3" customFormat="false" ht="31.5" hidden="false" customHeight="true" outlineLevel="0" collapsed="false">
      <c r="B3" s="2" t="s">
        <v>1</v>
      </c>
      <c r="C3" s="2"/>
    </row>
    <row r="5" customFormat="false" ht="15" hidden="false" customHeight="false" outlineLevel="0" collapsed="false">
      <c r="B5" s="3" t="s">
        <v>2</v>
      </c>
    </row>
    <row r="6" customFormat="false" ht="15" hidden="false" customHeight="false" outlineLevel="0" collapsed="false">
      <c r="B6" s="4" t="s">
        <v>3</v>
      </c>
      <c r="C6" s="5" t="s">
        <v>4</v>
      </c>
    </row>
    <row r="7" customFormat="false" ht="15" hidden="false" customHeight="false" outlineLevel="0" collapsed="false">
      <c r="B7" s="6" t="s">
        <v>5</v>
      </c>
      <c r="C7" s="5" t="s">
        <v>6</v>
      </c>
    </row>
    <row r="8" customFormat="false" ht="15" hidden="false" customHeight="false" outlineLevel="0" collapsed="false">
      <c r="B8" s="7" t="s">
        <v>7</v>
      </c>
      <c r="C8" s="5" t="s">
        <v>8</v>
      </c>
    </row>
    <row r="10" customFormat="false" ht="15" hidden="false" customHeight="false" outlineLevel="0" collapsed="false">
      <c r="B10" s="3" t="s">
        <v>9</v>
      </c>
    </row>
    <row r="11" customFormat="false" ht="43.5" hidden="false" customHeight="true" outlineLevel="0" collapsed="false">
      <c r="B11" s="8" t="s">
        <v>10</v>
      </c>
      <c r="C11" s="5" t="s">
        <v>11</v>
      </c>
    </row>
    <row r="12" customFormat="false" ht="30" hidden="false" customHeight="true" outlineLevel="0" collapsed="false">
      <c r="B12" s="8" t="s">
        <v>12</v>
      </c>
      <c r="C12" s="5" t="s">
        <v>13</v>
      </c>
    </row>
    <row r="13" customFormat="false" ht="30" hidden="false" customHeight="true" outlineLevel="0" collapsed="false">
      <c r="B13" s="8" t="s">
        <v>14</v>
      </c>
      <c r="C13" s="5" t="s">
        <v>15</v>
      </c>
    </row>
    <row r="14" customFormat="false" ht="30" hidden="false" customHeight="true" outlineLevel="0" collapsed="false">
      <c r="B14" s="8" t="s">
        <v>16</v>
      </c>
      <c r="C14" s="5" t="s">
        <v>17</v>
      </c>
    </row>
    <row r="15" customFormat="false" ht="30" hidden="false" customHeight="true" outlineLevel="0" collapsed="false">
      <c r="B15" s="8" t="s">
        <v>18</v>
      </c>
      <c r="C15" s="5" t="s">
        <v>19</v>
      </c>
    </row>
    <row r="16" customFormat="false" ht="43.5" hidden="false" customHeight="true" outlineLevel="0" collapsed="false">
      <c r="B16" s="8" t="s">
        <v>20</v>
      </c>
      <c r="C16" s="5" t="s">
        <v>21</v>
      </c>
    </row>
    <row r="18" customFormat="false" ht="15" hidden="false" customHeight="false" outlineLevel="0" collapsed="false">
      <c r="B18" s="3" t="s">
        <v>22</v>
      </c>
    </row>
    <row r="19" customFormat="false" ht="30" hidden="false" customHeight="true" outlineLevel="0" collapsed="false">
      <c r="B19" s="8" t="s">
        <v>23</v>
      </c>
      <c r="C19" s="5" t="s">
        <v>24</v>
      </c>
    </row>
    <row r="20" customFormat="false" ht="30" hidden="false" customHeight="true" outlineLevel="0" collapsed="false">
      <c r="B20" s="8" t="s">
        <v>25</v>
      </c>
      <c r="C20" s="5" t="s">
        <v>26</v>
      </c>
    </row>
    <row r="21" customFormat="false" ht="30" hidden="false" customHeight="true" outlineLevel="0" collapsed="false">
      <c r="B21" s="8" t="s">
        <v>27</v>
      </c>
      <c r="C21" s="5" t="s">
        <v>28</v>
      </c>
    </row>
    <row r="22" customFormat="false" ht="30" hidden="false" customHeight="true" outlineLevel="0" collapsed="false">
      <c r="B22" s="8" t="s">
        <v>29</v>
      </c>
      <c r="C22" s="5" t="s">
        <v>30</v>
      </c>
    </row>
  </sheetData>
  <mergeCells count="2">
    <mergeCell ref="B2:C2"/>
    <mergeCell ref="B3:C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4"/>
    <col collapsed="false" customWidth="true" hidden="false" outlineLevel="0" max="3" min="3" style="0" width="17"/>
    <col collapsed="false" customWidth="true" hidden="false" outlineLevel="0" max="4" min="4" style="0" width="11"/>
    <col collapsed="false" customWidth="true" hidden="false" outlineLevel="0" max="7" min="5" style="0" width="14"/>
    <col collapsed="false" customWidth="true" hidden="false" outlineLevel="0" max="8" min="8" style="0" width="13"/>
    <col collapsed="false" customWidth="true" hidden="false" outlineLevel="0" max="9" min="9" style="0" width="14"/>
    <col collapsed="false" customWidth="true" hidden="false" outlineLevel="0" max="10" min="10" style="0" width="16"/>
    <col collapsed="false" customWidth="true" hidden="false" outlineLevel="0" max="11" min="11" style="0" width="9"/>
    <col collapsed="false" customWidth="true" hidden="false" outlineLevel="0" max="12" min="12" style="0" width="30"/>
    <col collapsed="false" customWidth="true" hidden="false" outlineLevel="0" max="13" min="13" style="0" width="34"/>
    <col collapsed="false" customWidth="true" hidden="false" outlineLevel="0" max="14" min="14" style="0" width="24"/>
    <col collapsed="false" customWidth="true" hidden="false" outlineLevel="0" max="15" min="15" style="0" width="26"/>
    <col collapsed="false" customWidth="true" hidden="false" outlineLevel="0" max="16" min="16" style="0" width="18"/>
  </cols>
  <sheetData>
    <row r="1" customFormat="false" ht="33.75" hidden="false" customHeight="true" outlineLevel="0" collapsed="false">
      <c r="A1" s="9" t="s">
        <v>31</v>
      </c>
      <c r="B1" s="10" t="s">
        <v>32</v>
      </c>
      <c r="C1" s="10" t="s">
        <v>33</v>
      </c>
      <c r="D1" s="9" t="s">
        <v>34</v>
      </c>
      <c r="E1" s="9" t="s">
        <v>35</v>
      </c>
      <c r="F1" s="9" t="s">
        <v>36</v>
      </c>
      <c r="G1" s="9" t="s">
        <v>37</v>
      </c>
      <c r="H1" s="9" t="s">
        <v>38</v>
      </c>
      <c r="I1" s="9" t="s">
        <v>39</v>
      </c>
      <c r="J1" s="10" t="s">
        <v>40</v>
      </c>
      <c r="K1" s="9" t="s">
        <v>41</v>
      </c>
      <c r="L1" s="9" t="s">
        <v>42</v>
      </c>
      <c r="M1" s="9" t="s">
        <v>43</v>
      </c>
      <c r="N1" s="10" t="s">
        <v>44</v>
      </c>
      <c r="O1" s="11" t="s">
        <v>45</v>
      </c>
      <c r="P1" s="11" t="s">
        <v>46</v>
      </c>
    </row>
    <row r="2" customFormat="false" ht="15" hidden="false" customHeight="false" outlineLevel="0" collapsed="false">
      <c r="A2" s="12" t="s">
        <v>47</v>
      </c>
      <c r="B2" s="13" t="str">
        <f aca="false">IF($A2="","",IFERROR(INDEX('Loans (reference)'!$B$2:$B$500,MATCH($A2,'Loans (reference)'!$A$2:$A$500,0)),"not found"))</f>
        <v>fourstars</v>
      </c>
      <c r="C2" s="13" t="str">
        <f aca="false">IF($A2="","",IFERROR(INDEX('Loans (reference)'!$K$2:$K$500,MATCH($A2,'Loans (reference)'!$A$2:$A$500,0)),""))</f>
        <v>CGA · ECF2 · #3</v>
      </c>
      <c r="D2" s="14" t="n">
        <v>11</v>
      </c>
      <c r="E2" s="15" t="n">
        <v>46265</v>
      </c>
      <c r="F2" s="16" t="n">
        <v>14268.8</v>
      </c>
      <c r="G2" s="16" t="n">
        <v>66666.4</v>
      </c>
      <c r="H2" s="16"/>
      <c r="I2" s="16"/>
      <c r="J2" s="17" t="n">
        <f aca="false">IF(COUNT($F2:$H2)=0,"",SUM($F2:$H2))</f>
        <v>80935.2</v>
      </c>
      <c r="K2" s="14" t="n">
        <v>1</v>
      </c>
      <c r="L2" s="14" t="s">
        <v>48</v>
      </c>
      <c r="M2" s="14" t="s">
        <v>49</v>
      </c>
      <c r="N2" s="13" t="str">
        <f aca="false">IF(COUNTA($A2,$D2:$I2,$K2:$M2)=0,"",IF($A2="","Add Loan UID",IF(ISNA(MATCH($A2,'Loans (reference)'!$A$2:$A$500,0)),"UID not in Loans tab",IF($D2="","Add payment no.",IF(COUNTIFS($A$2:$A$300,$A2,$D$2:$D$300,$D2)&gt;1,"Duplicate payment no.",IF($E2="","Add payment date",IF(COUNT($F2:$H2)=0,"Add an amount","Ready")))))))</f>
        <v>Ready</v>
      </c>
      <c r="O2" s="18" t="s">
        <v>50</v>
      </c>
      <c r="P2" s="19" t="n">
        <v>46266.3333333333</v>
      </c>
    </row>
    <row r="3" customFormat="false" ht="15" hidden="false" customHeight="false" outlineLevel="0" collapsed="false">
      <c r="A3" s="12" t="s">
        <v>51</v>
      </c>
      <c r="B3" s="13" t="str">
        <f aca="false">IF($A3="","",IFERROR(INDEX('Loans (reference)'!$B$2:$B$500,MATCH($A3,'Loans (reference)'!$A$2:$A$500,0)),"not found"))</f>
        <v>Summit Heat Pumps</v>
      </c>
      <c r="C3" s="13" t="str">
        <f aca="false">IF($A3="","",IFERROR(INDEX('Loans (reference)'!$K$2:$K$500,MATCH($A3,'Loans (reference)'!$A$2:$A$500,0)),""))</f>
        <v>TRL · ECF2 · #2</v>
      </c>
      <c r="D3" s="14" t="n">
        <v>11</v>
      </c>
      <c r="E3" s="15" t="n">
        <v>46265</v>
      </c>
      <c r="F3" s="16" t="n">
        <v>14268.8</v>
      </c>
      <c r="G3" s="16" t="n">
        <v>66666.4</v>
      </c>
      <c r="H3" s="16"/>
      <c r="I3" s="16"/>
      <c r="J3" s="17" t="n">
        <f aca="false">IF(COUNT($F3:$H3)=0,"",SUM($F3:$H3))</f>
        <v>80935.2</v>
      </c>
      <c r="K3" s="14" t="n">
        <v>1</v>
      </c>
      <c r="L3" s="14"/>
      <c r="M3" s="14" t="s">
        <v>49</v>
      </c>
      <c r="N3" s="13" t="str">
        <f aca="false">IF(COUNTA($A3,$D3:$I3,$K3:$M3)=0,"",IF($A3="","Add Loan UID",IF(ISNA(MATCH($A3,'Loans (reference)'!$A$2:$A$500,0)),"UID not in Loans tab",IF($D3="","Add payment no.",IF(COUNTIFS($A$2:$A$300,$A3,$D$2:$D$300,$D3)&gt;1,"Duplicate payment no.",IF($E3="","Add payment date",IF(COUNT($F3:$H3)=0,"Add an amount","Ready")))))))</f>
        <v>Ready</v>
      </c>
      <c r="O3" s="18"/>
      <c r="P3" s="19"/>
    </row>
    <row r="4" customFormat="false" ht="15" hidden="false" customHeight="false" outlineLevel="0" collapsed="false">
      <c r="A4" s="12" t="s">
        <v>52</v>
      </c>
      <c r="B4" s="13" t="str">
        <f aca="false">IF($A4="","",IFERROR(INDEX('Loans (reference)'!$B$2:$B$500,MATCH($A4,'Loans (reference)'!$A$2:$A$500,0)),"not found"))</f>
        <v>Kinetiq</v>
      </c>
      <c r="C4" s="13" t="str">
        <f aca="false">IF($A4="","",IFERROR(INDEX('Loans (reference)'!$K$2:$K$500,MATCH($A4,'Loans (reference)'!$A$2:$A$500,0)),""))</f>
        <v>RBF · ECF1 · #1</v>
      </c>
      <c r="D4" s="14" t="n">
        <v>45</v>
      </c>
      <c r="E4" s="15" t="n">
        <v>46270</v>
      </c>
      <c r="F4" s="16" t="n">
        <v>1187.56</v>
      </c>
      <c r="G4" s="16" t="n">
        <v>10556.14</v>
      </c>
      <c r="H4" s="16"/>
      <c r="I4" s="16" t="n">
        <v>263903.3</v>
      </c>
      <c r="J4" s="17" t="n">
        <f aca="false">IF(COUNT($F4:$H4)=0,"",SUM($F4:$H4))</f>
        <v>11743.7</v>
      </c>
      <c r="K4" s="14"/>
      <c r="L4" s="14"/>
      <c r="M4" s="14" t="s">
        <v>53</v>
      </c>
      <c r="N4" s="13" t="str">
        <f aca="false">IF(COUNTA($A4,$D4:$I4,$K4:$M4)=0,"",IF($A4="","Add Loan UID",IF(ISNA(MATCH($A4,'Loans (reference)'!$A$2:$A$500,0)),"UID not in Loans tab",IF($D4="","Add payment no.",IF(COUNTIFS($A$2:$A$300,$A4,$D$2:$D$300,$D4)&gt;1,"Duplicate payment no.",IF($E4="","Add payment date",IF(COUNT($F4:$H4)=0,"Add an amount","Ready")))))))</f>
        <v>Ready</v>
      </c>
      <c r="O4" s="18"/>
      <c r="P4" s="19"/>
    </row>
    <row r="5" customFormat="false" ht="15" hidden="false" customHeight="false" outlineLevel="0" collapsed="false">
      <c r="A5" s="12"/>
      <c r="B5" s="13" t="str">
        <f aca="false">IF($A5="","",IFERROR(INDEX('Loans (reference)'!$B$2:$B$500,MATCH($A5,'Loans (reference)'!$A$2:$A$500,0)),"not found"))</f>
        <v/>
      </c>
      <c r="C5" s="13" t="str">
        <f aca="false">IF($A5="","",IFERROR(INDEX('Loans (reference)'!$K$2:$K$500,MATCH($A5,'Loans (reference)'!$A$2:$A$500,0)),""))</f>
        <v/>
      </c>
      <c r="D5" s="14"/>
      <c r="E5" s="15"/>
      <c r="F5" s="16"/>
      <c r="G5" s="16"/>
      <c r="H5" s="16"/>
      <c r="I5" s="16"/>
      <c r="J5" s="17" t="str">
        <f aca="false">IF(COUNT($F5:$H5)=0,"",SUM($F5:$H5))</f>
        <v/>
      </c>
      <c r="K5" s="14"/>
      <c r="L5" s="14"/>
      <c r="M5" s="14"/>
      <c r="N5" s="13" t="str">
        <f aca="false">IF(COUNTA($A5,$D5:$I5,$K5:$M5)=0,"",IF($A5="","Add Loan UID",IF(ISNA(MATCH($A5,'Loans (reference)'!$A$2:$A$500,0)),"UID not in Loans tab",IF($D5="","Add payment no.",IF(COUNTIFS($A$2:$A$300,$A5,$D$2:$D$300,$D5)&gt;1,"Duplicate payment no.",IF($E5="","Add payment date",IF(COUNT($F5:$H5)=0,"Add an amount","Ready")))))))</f>
        <v/>
      </c>
      <c r="O5" s="18"/>
      <c r="P5" s="19"/>
    </row>
    <row r="6" customFormat="false" ht="15" hidden="false" customHeight="false" outlineLevel="0" collapsed="false">
      <c r="A6" s="12"/>
      <c r="B6" s="13" t="str">
        <f aca="false">IF($A6="","",IFERROR(INDEX('Loans (reference)'!$B$2:$B$500,MATCH($A6,'Loans (reference)'!$A$2:$A$500,0)),"not found"))</f>
        <v/>
      </c>
      <c r="C6" s="13" t="str">
        <f aca="false">IF($A6="","",IFERROR(INDEX('Loans (reference)'!$K$2:$K$500,MATCH($A6,'Loans (reference)'!$A$2:$A$500,0)),""))</f>
        <v/>
      </c>
      <c r="D6" s="14"/>
      <c r="E6" s="15"/>
      <c r="F6" s="16"/>
      <c r="G6" s="16"/>
      <c r="H6" s="16"/>
      <c r="I6" s="16"/>
      <c r="J6" s="17" t="str">
        <f aca="false">IF(COUNT($F6:$H6)=0,"",SUM($F6:$H6))</f>
        <v/>
      </c>
      <c r="K6" s="14"/>
      <c r="L6" s="14"/>
      <c r="M6" s="14"/>
      <c r="N6" s="13" t="str">
        <f aca="false">IF(COUNTA($A6,$D6:$I6,$K6:$M6)=0,"",IF($A6="","Add Loan UID",IF(ISNA(MATCH($A6,'Loans (reference)'!$A$2:$A$500,0)),"UID not in Loans tab",IF($D6="","Add payment no.",IF(COUNTIFS($A$2:$A$300,$A6,$D$2:$D$300,$D6)&gt;1,"Duplicate payment no.",IF($E6="","Add payment date",IF(COUNT($F6:$H6)=0,"Add an amount","Ready")))))))</f>
        <v/>
      </c>
      <c r="O6" s="18"/>
      <c r="P6" s="19"/>
    </row>
    <row r="7" customFormat="false" ht="15" hidden="false" customHeight="false" outlineLevel="0" collapsed="false">
      <c r="A7" s="12"/>
      <c r="B7" s="13" t="str">
        <f aca="false">IF($A7="","",IFERROR(INDEX('Loans (reference)'!$B$2:$B$500,MATCH($A7,'Loans (reference)'!$A$2:$A$500,0)),"not found"))</f>
        <v/>
      </c>
      <c r="C7" s="13" t="str">
        <f aca="false">IF($A7="","",IFERROR(INDEX('Loans (reference)'!$K$2:$K$500,MATCH($A7,'Loans (reference)'!$A$2:$A$500,0)),""))</f>
        <v/>
      </c>
      <c r="D7" s="14"/>
      <c r="E7" s="15"/>
      <c r="F7" s="16"/>
      <c r="G7" s="16"/>
      <c r="H7" s="16"/>
      <c r="I7" s="16"/>
      <c r="J7" s="17" t="str">
        <f aca="false">IF(COUNT($F7:$H7)=0,"",SUM($F7:$H7))</f>
        <v/>
      </c>
      <c r="K7" s="14"/>
      <c r="L7" s="14"/>
      <c r="M7" s="14"/>
      <c r="N7" s="13" t="str">
        <f aca="false">IF(COUNTA($A7,$D7:$I7,$K7:$M7)=0,"",IF($A7="","Add Loan UID",IF(ISNA(MATCH($A7,'Loans (reference)'!$A$2:$A$500,0)),"UID not in Loans tab",IF($D7="","Add payment no.",IF(COUNTIFS($A$2:$A$300,$A7,$D$2:$D$300,$D7)&gt;1,"Duplicate payment no.",IF($E7="","Add payment date",IF(COUNT($F7:$H7)=0,"Add an amount","Ready")))))))</f>
        <v/>
      </c>
      <c r="O7" s="18"/>
      <c r="P7" s="19"/>
    </row>
    <row r="8" customFormat="false" ht="15" hidden="false" customHeight="false" outlineLevel="0" collapsed="false">
      <c r="A8" s="12"/>
      <c r="B8" s="13" t="str">
        <f aca="false">IF($A8="","",IFERROR(INDEX('Loans (reference)'!$B$2:$B$500,MATCH($A8,'Loans (reference)'!$A$2:$A$500,0)),"not found"))</f>
        <v/>
      </c>
      <c r="C8" s="13" t="str">
        <f aca="false">IF($A8="","",IFERROR(INDEX('Loans (reference)'!$K$2:$K$500,MATCH($A8,'Loans (reference)'!$A$2:$A$500,0)),""))</f>
        <v/>
      </c>
      <c r="D8" s="14"/>
      <c r="E8" s="15"/>
      <c r="F8" s="16"/>
      <c r="G8" s="16"/>
      <c r="H8" s="16"/>
      <c r="I8" s="16"/>
      <c r="J8" s="17" t="str">
        <f aca="false">IF(COUNT($F8:$H8)=0,"",SUM($F8:$H8))</f>
        <v/>
      </c>
      <c r="K8" s="14"/>
      <c r="L8" s="14"/>
      <c r="M8" s="14"/>
      <c r="N8" s="13" t="str">
        <f aca="false">IF(COUNTA($A8,$D8:$I8,$K8:$M8)=0,"",IF($A8="","Add Loan UID",IF(ISNA(MATCH($A8,'Loans (reference)'!$A$2:$A$500,0)),"UID not in Loans tab",IF($D8="","Add payment no.",IF(COUNTIFS($A$2:$A$300,$A8,$D$2:$D$300,$D8)&gt;1,"Duplicate payment no.",IF($E8="","Add payment date",IF(COUNT($F8:$H8)=0,"Add an amount","Ready")))))))</f>
        <v/>
      </c>
      <c r="O8" s="18"/>
      <c r="P8" s="19"/>
    </row>
    <row r="9" customFormat="false" ht="15" hidden="false" customHeight="false" outlineLevel="0" collapsed="false">
      <c r="A9" s="12"/>
      <c r="B9" s="13" t="str">
        <f aca="false">IF($A9="","",IFERROR(INDEX('Loans (reference)'!$B$2:$B$500,MATCH($A9,'Loans (reference)'!$A$2:$A$500,0)),"not found"))</f>
        <v/>
      </c>
      <c r="C9" s="13" t="str">
        <f aca="false">IF($A9="","",IFERROR(INDEX('Loans (reference)'!$K$2:$K$500,MATCH($A9,'Loans (reference)'!$A$2:$A$500,0)),""))</f>
        <v/>
      </c>
      <c r="D9" s="14"/>
      <c r="E9" s="15"/>
      <c r="F9" s="16"/>
      <c r="G9" s="16"/>
      <c r="H9" s="16"/>
      <c r="I9" s="16"/>
      <c r="J9" s="17" t="str">
        <f aca="false">IF(COUNT($F9:$H9)=0,"",SUM($F9:$H9))</f>
        <v/>
      </c>
      <c r="K9" s="14"/>
      <c r="L9" s="14"/>
      <c r="M9" s="14"/>
      <c r="N9" s="13" t="str">
        <f aca="false">IF(COUNTA($A9,$D9:$I9,$K9:$M9)=0,"",IF($A9="","Add Loan UID",IF(ISNA(MATCH($A9,'Loans (reference)'!$A$2:$A$500,0)),"UID not in Loans tab",IF($D9="","Add payment no.",IF(COUNTIFS($A$2:$A$300,$A9,$D$2:$D$300,$D9)&gt;1,"Duplicate payment no.",IF($E9="","Add payment date",IF(COUNT($F9:$H9)=0,"Add an amount","Ready")))))))</f>
        <v/>
      </c>
      <c r="O9" s="18"/>
      <c r="P9" s="19"/>
    </row>
    <row r="10" customFormat="false" ht="15" hidden="false" customHeight="false" outlineLevel="0" collapsed="false">
      <c r="A10" s="12"/>
      <c r="B10" s="13" t="str">
        <f aca="false">IF($A10="","",IFERROR(INDEX('Loans (reference)'!$B$2:$B$500,MATCH($A10,'Loans (reference)'!$A$2:$A$500,0)),"not found"))</f>
        <v/>
      </c>
      <c r="C10" s="13" t="str">
        <f aca="false">IF($A10="","",IFERROR(INDEX('Loans (reference)'!$K$2:$K$500,MATCH($A10,'Loans (reference)'!$A$2:$A$500,0)),""))</f>
        <v/>
      </c>
      <c r="D10" s="14"/>
      <c r="E10" s="15"/>
      <c r="F10" s="16"/>
      <c r="G10" s="16"/>
      <c r="H10" s="16"/>
      <c r="I10" s="16"/>
      <c r="J10" s="17" t="str">
        <f aca="false">IF(COUNT($F10:$H10)=0,"",SUM($F10:$H10))</f>
        <v/>
      </c>
      <c r="K10" s="14"/>
      <c r="L10" s="14"/>
      <c r="M10" s="14"/>
      <c r="N10" s="13" t="str">
        <f aca="false">IF(COUNTA($A10,$D10:$I10,$K10:$M10)=0,"",IF($A10="","Add Loan UID",IF(ISNA(MATCH($A10,'Loans (reference)'!$A$2:$A$500,0)),"UID not in Loans tab",IF($D10="","Add payment no.",IF(COUNTIFS($A$2:$A$300,$A10,$D$2:$D$300,$D10)&gt;1,"Duplicate payment no.",IF($E10="","Add payment date",IF(COUNT($F10:$H10)=0,"Add an amount","Ready")))))))</f>
        <v/>
      </c>
      <c r="O10" s="18"/>
      <c r="P10" s="19"/>
    </row>
    <row r="11" customFormat="false" ht="15" hidden="false" customHeight="false" outlineLevel="0" collapsed="false">
      <c r="A11" s="12"/>
      <c r="B11" s="13" t="str">
        <f aca="false">IF($A11="","",IFERROR(INDEX('Loans (reference)'!$B$2:$B$500,MATCH($A11,'Loans (reference)'!$A$2:$A$500,0)),"not found"))</f>
        <v/>
      </c>
      <c r="C11" s="13" t="str">
        <f aca="false">IF($A11="","",IFERROR(INDEX('Loans (reference)'!$K$2:$K$500,MATCH($A11,'Loans (reference)'!$A$2:$A$500,0)),""))</f>
        <v/>
      </c>
      <c r="D11" s="14"/>
      <c r="E11" s="15"/>
      <c r="F11" s="16"/>
      <c r="G11" s="16"/>
      <c r="H11" s="16"/>
      <c r="I11" s="16"/>
      <c r="J11" s="17" t="str">
        <f aca="false">IF(COUNT($F11:$H11)=0,"",SUM($F11:$H11))</f>
        <v/>
      </c>
      <c r="K11" s="14"/>
      <c r="L11" s="14"/>
      <c r="M11" s="14"/>
      <c r="N11" s="13" t="str">
        <f aca="false">IF(COUNTA($A11,$D11:$I11,$K11:$M11)=0,"",IF($A11="","Add Loan UID",IF(ISNA(MATCH($A11,'Loans (reference)'!$A$2:$A$500,0)),"UID not in Loans tab",IF($D11="","Add payment no.",IF(COUNTIFS($A$2:$A$300,$A11,$D$2:$D$300,$D11)&gt;1,"Duplicate payment no.",IF($E11="","Add payment date",IF(COUNT($F11:$H11)=0,"Add an amount","Ready")))))))</f>
        <v/>
      </c>
      <c r="O11" s="18"/>
      <c r="P11" s="19"/>
    </row>
    <row r="12" customFormat="false" ht="15" hidden="false" customHeight="false" outlineLevel="0" collapsed="false">
      <c r="A12" s="12"/>
      <c r="B12" s="13" t="str">
        <f aca="false">IF($A12="","",IFERROR(INDEX('Loans (reference)'!$B$2:$B$500,MATCH($A12,'Loans (reference)'!$A$2:$A$500,0)),"not found"))</f>
        <v/>
      </c>
      <c r="C12" s="13" t="str">
        <f aca="false">IF($A12="","",IFERROR(INDEX('Loans (reference)'!$K$2:$K$500,MATCH($A12,'Loans (reference)'!$A$2:$A$500,0)),""))</f>
        <v/>
      </c>
      <c r="D12" s="14"/>
      <c r="E12" s="15"/>
      <c r="F12" s="16"/>
      <c r="G12" s="16"/>
      <c r="H12" s="16"/>
      <c r="I12" s="16"/>
      <c r="J12" s="17" t="str">
        <f aca="false">IF(COUNT($F12:$H12)=0,"",SUM($F12:$H12))</f>
        <v/>
      </c>
      <c r="K12" s="14"/>
      <c r="L12" s="14"/>
      <c r="M12" s="14"/>
      <c r="N12" s="13" t="str">
        <f aca="false">IF(COUNTA($A12,$D12:$I12,$K12:$M12)=0,"",IF($A12="","Add Loan UID",IF(ISNA(MATCH($A12,'Loans (reference)'!$A$2:$A$500,0)),"UID not in Loans tab",IF($D12="","Add payment no.",IF(COUNTIFS($A$2:$A$300,$A12,$D$2:$D$300,$D12)&gt;1,"Duplicate payment no.",IF($E12="","Add payment date",IF(COUNT($F12:$H12)=0,"Add an amount","Ready")))))))</f>
        <v/>
      </c>
      <c r="O12" s="18"/>
      <c r="P12" s="19"/>
    </row>
    <row r="13" customFormat="false" ht="15" hidden="false" customHeight="false" outlineLevel="0" collapsed="false">
      <c r="A13" s="12"/>
      <c r="B13" s="13" t="str">
        <f aca="false">IF($A13="","",IFERROR(INDEX('Loans (reference)'!$B$2:$B$500,MATCH($A13,'Loans (reference)'!$A$2:$A$500,0)),"not found"))</f>
        <v/>
      </c>
      <c r="C13" s="13" t="str">
        <f aca="false">IF($A13="","",IFERROR(INDEX('Loans (reference)'!$K$2:$K$500,MATCH($A13,'Loans (reference)'!$A$2:$A$500,0)),""))</f>
        <v/>
      </c>
      <c r="D13" s="14"/>
      <c r="E13" s="15"/>
      <c r="F13" s="16"/>
      <c r="G13" s="16"/>
      <c r="H13" s="16"/>
      <c r="I13" s="16"/>
      <c r="J13" s="17" t="str">
        <f aca="false">IF(COUNT($F13:$H13)=0,"",SUM($F13:$H13))</f>
        <v/>
      </c>
      <c r="K13" s="14"/>
      <c r="L13" s="14"/>
      <c r="M13" s="14"/>
      <c r="N13" s="13" t="str">
        <f aca="false">IF(COUNTA($A13,$D13:$I13,$K13:$M13)=0,"",IF($A13="","Add Loan UID",IF(ISNA(MATCH($A13,'Loans (reference)'!$A$2:$A$500,0)),"UID not in Loans tab",IF($D13="","Add payment no.",IF(COUNTIFS($A$2:$A$300,$A13,$D$2:$D$300,$D13)&gt;1,"Duplicate payment no.",IF($E13="","Add payment date",IF(COUNT($F13:$H13)=0,"Add an amount","Ready")))))))</f>
        <v/>
      </c>
      <c r="O13" s="18"/>
      <c r="P13" s="19"/>
    </row>
    <row r="14" customFormat="false" ht="15" hidden="false" customHeight="false" outlineLevel="0" collapsed="false">
      <c r="A14" s="12"/>
      <c r="B14" s="13" t="str">
        <f aca="false">IF($A14="","",IFERROR(INDEX('Loans (reference)'!$B$2:$B$500,MATCH($A14,'Loans (reference)'!$A$2:$A$500,0)),"not found"))</f>
        <v/>
      </c>
      <c r="C14" s="13" t="str">
        <f aca="false">IF($A14="","",IFERROR(INDEX('Loans (reference)'!$K$2:$K$500,MATCH($A14,'Loans (reference)'!$A$2:$A$500,0)),""))</f>
        <v/>
      </c>
      <c r="D14" s="14"/>
      <c r="E14" s="15"/>
      <c r="F14" s="16"/>
      <c r="G14" s="16"/>
      <c r="H14" s="16"/>
      <c r="I14" s="16"/>
      <c r="J14" s="17" t="str">
        <f aca="false">IF(COUNT($F14:$H14)=0,"",SUM($F14:$H14))</f>
        <v/>
      </c>
      <c r="K14" s="14"/>
      <c r="L14" s="14"/>
      <c r="M14" s="14"/>
      <c r="N14" s="13" t="str">
        <f aca="false">IF(COUNTA($A14,$D14:$I14,$K14:$M14)=0,"",IF($A14="","Add Loan UID",IF(ISNA(MATCH($A14,'Loans (reference)'!$A$2:$A$500,0)),"UID not in Loans tab",IF($D14="","Add payment no.",IF(COUNTIFS($A$2:$A$300,$A14,$D$2:$D$300,$D14)&gt;1,"Duplicate payment no.",IF($E14="","Add payment date",IF(COUNT($F14:$H14)=0,"Add an amount","Ready")))))))</f>
        <v/>
      </c>
      <c r="O14" s="18"/>
      <c r="P14" s="19"/>
    </row>
    <row r="15" customFormat="false" ht="15" hidden="false" customHeight="false" outlineLevel="0" collapsed="false">
      <c r="A15" s="12"/>
      <c r="B15" s="13" t="str">
        <f aca="false">IF($A15="","",IFERROR(INDEX('Loans (reference)'!$B$2:$B$500,MATCH($A15,'Loans (reference)'!$A$2:$A$500,0)),"not found"))</f>
        <v/>
      </c>
      <c r="C15" s="13" t="str">
        <f aca="false">IF($A15="","",IFERROR(INDEX('Loans (reference)'!$K$2:$K$500,MATCH($A15,'Loans (reference)'!$A$2:$A$500,0)),""))</f>
        <v/>
      </c>
      <c r="D15" s="14"/>
      <c r="E15" s="15"/>
      <c r="F15" s="16"/>
      <c r="G15" s="16"/>
      <c r="H15" s="16"/>
      <c r="I15" s="16"/>
      <c r="J15" s="17" t="str">
        <f aca="false">IF(COUNT($F15:$H15)=0,"",SUM($F15:$H15))</f>
        <v/>
      </c>
      <c r="K15" s="14"/>
      <c r="L15" s="14"/>
      <c r="M15" s="14"/>
      <c r="N15" s="13" t="str">
        <f aca="false">IF(COUNTA($A15,$D15:$I15,$K15:$M15)=0,"",IF($A15="","Add Loan UID",IF(ISNA(MATCH($A15,'Loans (reference)'!$A$2:$A$500,0)),"UID not in Loans tab",IF($D15="","Add payment no.",IF(COUNTIFS($A$2:$A$300,$A15,$D$2:$D$300,$D15)&gt;1,"Duplicate payment no.",IF($E15="","Add payment date",IF(COUNT($F15:$H15)=0,"Add an amount","Ready")))))))</f>
        <v/>
      </c>
      <c r="O15" s="18"/>
      <c r="P15" s="19"/>
    </row>
    <row r="16" customFormat="false" ht="15" hidden="false" customHeight="false" outlineLevel="0" collapsed="false">
      <c r="A16" s="12"/>
      <c r="B16" s="13" t="str">
        <f aca="false">IF($A16="","",IFERROR(INDEX('Loans (reference)'!$B$2:$B$500,MATCH($A16,'Loans (reference)'!$A$2:$A$500,0)),"not found"))</f>
        <v/>
      </c>
      <c r="C16" s="13" t="str">
        <f aca="false">IF($A16="","",IFERROR(INDEX('Loans (reference)'!$K$2:$K$500,MATCH($A16,'Loans (reference)'!$A$2:$A$500,0)),""))</f>
        <v/>
      </c>
      <c r="D16" s="14"/>
      <c r="E16" s="15"/>
      <c r="F16" s="16"/>
      <c r="G16" s="16"/>
      <c r="H16" s="16"/>
      <c r="I16" s="16"/>
      <c r="J16" s="17" t="str">
        <f aca="false">IF(COUNT($F16:$H16)=0,"",SUM($F16:$H16))</f>
        <v/>
      </c>
      <c r="K16" s="14"/>
      <c r="L16" s="14"/>
      <c r="M16" s="14"/>
      <c r="N16" s="13" t="str">
        <f aca="false">IF(COUNTA($A16,$D16:$I16,$K16:$M16)=0,"",IF($A16="","Add Loan UID",IF(ISNA(MATCH($A16,'Loans (reference)'!$A$2:$A$500,0)),"UID not in Loans tab",IF($D16="","Add payment no.",IF(COUNTIFS($A$2:$A$300,$A16,$D$2:$D$300,$D16)&gt;1,"Duplicate payment no.",IF($E16="","Add payment date",IF(COUNT($F16:$H16)=0,"Add an amount","Ready")))))))</f>
        <v/>
      </c>
      <c r="O16" s="18"/>
      <c r="P16" s="19"/>
    </row>
    <row r="17" customFormat="false" ht="15" hidden="false" customHeight="false" outlineLevel="0" collapsed="false">
      <c r="A17" s="12"/>
      <c r="B17" s="13" t="str">
        <f aca="false">IF($A17="","",IFERROR(INDEX('Loans (reference)'!$B$2:$B$500,MATCH($A17,'Loans (reference)'!$A$2:$A$500,0)),"not found"))</f>
        <v/>
      </c>
      <c r="C17" s="13" t="str">
        <f aca="false">IF($A17="","",IFERROR(INDEX('Loans (reference)'!$K$2:$K$500,MATCH($A17,'Loans (reference)'!$A$2:$A$500,0)),""))</f>
        <v/>
      </c>
      <c r="D17" s="14"/>
      <c r="E17" s="15"/>
      <c r="F17" s="16"/>
      <c r="G17" s="16"/>
      <c r="H17" s="16"/>
      <c r="I17" s="16"/>
      <c r="J17" s="17" t="str">
        <f aca="false">IF(COUNT($F17:$H17)=0,"",SUM($F17:$H17))</f>
        <v/>
      </c>
      <c r="K17" s="14"/>
      <c r="L17" s="14"/>
      <c r="M17" s="14"/>
      <c r="N17" s="13" t="str">
        <f aca="false">IF(COUNTA($A17,$D17:$I17,$K17:$M17)=0,"",IF($A17="","Add Loan UID",IF(ISNA(MATCH($A17,'Loans (reference)'!$A$2:$A$500,0)),"UID not in Loans tab",IF($D17="","Add payment no.",IF(COUNTIFS($A$2:$A$300,$A17,$D$2:$D$300,$D17)&gt;1,"Duplicate payment no.",IF($E17="","Add payment date",IF(COUNT($F17:$H17)=0,"Add an amount","Ready")))))))</f>
        <v/>
      </c>
      <c r="O17" s="18"/>
      <c r="P17" s="19"/>
    </row>
    <row r="18" customFormat="false" ht="15" hidden="false" customHeight="false" outlineLevel="0" collapsed="false">
      <c r="A18" s="12"/>
      <c r="B18" s="13" t="str">
        <f aca="false">IF($A18="","",IFERROR(INDEX('Loans (reference)'!$B$2:$B$500,MATCH($A18,'Loans (reference)'!$A$2:$A$500,0)),"not found"))</f>
        <v/>
      </c>
      <c r="C18" s="13" t="str">
        <f aca="false">IF($A18="","",IFERROR(INDEX('Loans (reference)'!$K$2:$K$500,MATCH($A18,'Loans (reference)'!$A$2:$A$500,0)),""))</f>
        <v/>
      </c>
      <c r="D18" s="14"/>
      <c r="E18" s="15"/>
      <c r="F18" s="16"/>
      <c r="G18" s="16"/>
      <c r="H18" s="16"/>
      <c r="I18" s="16"/>
      <c r="J18" s="17" t="str">
        <f aca="false">IF(COUNT($F18:$H18)=0,"",SUM($F18:$H18))</f>
        <v/>
      </c>
      <c r="K18" s="14"/>
      <c r="L18" s="14"/>
      <c r="M18" s="14"/>
      <c r="N18" s="13" t="str">
        <f aca="false">IF(COUNTA($A18,$D18:$I18,$K18:$M18)=0,"",IF($A18="","Add Loan UID",IF(ISNA(MATCH($A18,'Loans (reference)'!$A$2:$A$500,0)),"UID not in Loans tab",IF($D18="","Add payment no.",IF(COUNTIFS($A$2:$A$300,$A18,$D$2:$D$300,$D18)&gt;1,"Duplicate payment no.",IF($E18="","Add payment date",IF(COUNT($F18:$H18)=0,"Add an amount","Ready")))))))</f>
        <v/>
      </c>
      <c r="O18" s="18"/>
      <c r="P18" s="19"/>
    </row>
    <row r="19" customFormat="false" ht="15" hidden="false" customHeight="false" outlineLevel="0" collapsed="false">
      <c r="A19" s="12"/>
      <c r="B19" s="13" t="str">
        <f aca="false">IF($A19="","",IFERROR(INDEX('Loans (reference)'!$B$2:$B$500,MATCH($A19,'Loans (reference)'!$A$2:$A$500,0)),"not found"))</f>
        <v/>
      </c>
      <c r="C19" s="13" t="str">
        <f aca="false">IF($A19="","",IFERROR(INDEX('Loans (reference)'!$K$2:$K$500,MATCH($A19,'Loans (reference)'!$A$2:$A$500,0)),""))</f>
        <v/>
      </c>
      <c r="D19" s="14"/>
      <c r="E19" s="15"/>
      <c r="F19" s="16"/>
      <c r="G19" s="16"/>
      <c r="H19" s="16"/>
      <c r="I19" s="16"/>
      <c r="J19" s="17" t="str">
        <f aca="false">IF(COUNT($F19:$H19)=0,"",SUM($F19:$H19))</f>
        <v/>
      </c>
      <c r="K19" s="14"/>
      <c r="L19" s="14"/>
      <c r="M19" s="14"/>
      <c r="N19" s="13" t="str">
        <f aca="false">IF(COUNTA($A19,$D19:$I19,$K19:$M19)=0,"",IF($A19="","Add Loan UID",IF(ISNA(MATCH($A19,'Loans (reference)'!$A$2:$A$500,0)),"UID not in Loans tab",IF($D19="","Add payment no.",IF(COUNTIFS($A$2:$A$300,$A19,$D$2:$D$300,$D19)&gt;1,"Duplicate payment no.",IF($E19="","Add payment date",IF(COUNT($F19:$H19)=0,"Add an amount","Ready")))))))</f>
        <v/>
      </c>
      <c r="O19" s="18"/>
      <c r="P19" s="19"/>
    </row>
    <row r="20" customFormat="false" ht="15" hidden="false" customHeight="false" outlineLevel="0" collapsed="false">
      <c r="A20" s="12"/>
      <c r="B20" s="13" t="str">
        <f aca="false">IF($A20="","",IFERROR(INDEX('Loans (reference)'!$B$2:$B$500,MATCH($A20,'Loans (reference)'!$A$2:$A$500,0)),"not found"))</f>
        <v/>
      </c>
      <c r="C20" s="13" t="str">
        <f aca="false">IF($A20="","",IFERROR(INDEX('Loans (reference)'!$K$2:$K$500,MATCH($A20,'Loans (reference)'!$A$2:$A$500,0)),""))</f>
        <v/>
      </c>
      <c r="D20" s="14"/>
      <c r="E20" s="15"/>
      <c r="F20" s="16"/>
      <c r="G20" s="16"/>
      <c r="H20" s="16"/>
      <c r="I20" s="16"/>
      <c r="J20" s="17" t="str">
        <f aca="false">IF(COUNT($F20:$H20)=0,"",SUM($F20:$H20))</f>
        <v/>
      </c>
      <c r="K20" s="14"/>
      <c r="L20" s="14"/>
      <c r="M20" s="14"/>
      <c r="N20" s="13" t="str">
        <f aca="false">IF(COUNTA($A20,$D20:$I20,$K20:$M20)=0,"",IF($A20="","Add Loan UID",IF(ISNA(MATCH($A20,'Loans (reference)'!$A$2:$A$500,0)),"UID not in Loans tab",IF($D20="","Add payment no.",IF(COUNTIFS($A$2:$A$300,$A20,$D$2:$D$300,$D20)&gt;1,"Duplicate payment no.",IF($E20="","Add payment date",IF(COUNT($F20:$H20)=0,"Add an amount","Ready")))))))</f>
        <v/>
      </c>
      <c r="O20" s="18"/>
      <c r="P20" s="19"/>
    </row>
    <row r="21" customFormat="false" ht="15" hidden="false" customHeight="false" outlineLevel="0" collapsed="false">
      <c r="A21" s="12"/>
      <c r="B21" s="13" t="str">
        <f aca="false">IF($A21="","",IFERROR(INDEX('Loans (reference)'!$B$2:$B$500,MATCH($A21,'Loans (reference)'!$A$2:$A$500,0)),"not found"))</f>
        <v/>
      </c>
      <c r="C21" s="13" t="str">
        <f aca="false">IF($A21="","",IFERROR(INDEX('Loans (reference)'!$K$2:$K$500,MATCH($A21,'Loans (reference)'!$A$2:$A$500,0)),""))</f>
        <v/>
      </c>
      <c r="D21" s="14"/>
      <c r="E21" s="15"/>
      <c r="F21" s="16"/>
      <c r="G21" s="16"/>
      <c r="H21" s="16"/>
      <c r="I21" s="16"/>
      <c r="J21" s="17" t="str">
        <f aca="false">IF(COUNT($F21:$H21)=0,"",SUM($F21:$H21))</f>
        <v/>
      </c>
      <c r="K21" s="14"/>
      <c r="L21" s="14"/>
      <c r="M21" s="14"/>
      <c r="N21" s="13" t="str">
        <f aca="false">IF(COUNTA($A21,$D21:$I21,$K21:$M21)=0,"",IF($A21="","Add Loan UID",IF(ISNA(MATCH($A21,'Loans (reference)'!$A$2:$A$500,0)),"UID not in Loans tab",IF($D21="","Add payment no.",IF(COUNTIFS($A$2:$A$300,$A21,$D$2:$D$300,$D21)&gt;1,"Duplicate payment no.",IF($E21="","Add payment date",IF(COUNT($F21:$H21)=0,"Add an amount","Ready")))))))</f>
        <v/>
      </c>
      <c r="O21" s="18"/>
      <c r="P21" s="19"/>
    </row>
    <row r="22" customFormat="false" ht="15" hidden="false" customHeight="false" outlineLevel="0" collapsed="false">
      <c r="A22" s="12"/>
      <c r="B22" s="13" t="str">
        <f aca="false">IF($A22="","",IFERROR(INDEX('Loans (reference)'!$B$2:$B$500,MATCH($A22,'Loans (reference)'!$A$2:$A$500,0)),"not found"))</f>
        <v/>
      </c>
      <c r="C22" s="13" t="str">
        <f aca="false">IF($A22="","",IFERROR(INDEX('Loans (reference)'!$K$2:$K$500,MATCH($A22,'Loans (reference)'!$A$2:$A$500,0)),""))</f>
        <v/>
      </c>
      <c r="D22" s="14"/>
      <c r="E22" s="15"/>
      <c r="F22" s="16"/>
      <c r="G22" s="16"/>
      <c r="H22" s="16"/>
      <c r="I22" s="16"/>
      <c r="J22" s="17" t="str">
        <f aca="false">IF(COUNT($F22:$H22)=0,"",SUM($F22:$H22))</f>
        <v/>
      </c>
      <c r="K22" s="14"/>
      <c r="L22" s="14"/>
      <c r="M22" s="14"/>
      <c r="N22" s="13" t="str">
        <f aca="false">IF(COUNTA($A22,$D22:$I22,$K22:$M22)=0,"",IF($A22="","Add Loan UID",IF(ISNA(MATCH($A22,'Loans (reference)'!$A$2:$A$500,0)),"UID not in Loans tab",IF($D22="","Add payment no.",IF(COUNTIFS($A$2:$A$300,$A22,$D$2:$D$300,$D22)&gt;1,"Duplicate payment no.",IF($E22="","Add payment date",IF(COUNT($F22:$H22)=0,"Add an amount","Ready")))))))</f>
        <v/>
      </c>
      <c r="O22" s="18"/>
      <c r="P22" s="19"/>
    </row>
    <row r="23" customFormat="false" ht="15" hidden="false" customHeight="false" outlineLevel="0" collapsed="false">
      <c r="A23" s="12"/>
      <c r="B23" s="13" t="str">
        <f aca="false">IF($A23="","",IFERROR(INDEX('Loans (reference)'!$B$2:$B$500,MATCH($A23,'Loans (reference)'!$A$2:$A$500,0)),"not found"))</f>
        <v/>
      </c>
      <c r="C23" s="13" t="str">
        <f aca="false">IF($A23="","",IFERROR(INDEX('Loans (reference)'!$K$2:$K$500,MATCH($A23,'Loans (reference)'!$A$2:$A$500,0)),""))</f>
        <v/>
      </c>
      <c r="D23" s="14"/>
      <c r="E23" s="15"/>
      <c r="F23" s="16"/>
      <c r="G23" s="16"/>
      <c r="H23" s="16"/>
      <c r="I23" s="16"/>
      <c r="J23" s="17" t="str">
        <f aca="false">IF(COUNT($F23:$H23)=0,"",SUM($F23:$H23))</f>
        <v/>
      </c>
      <c r="K23" s="14"/>
      <c r="L23" s="14"/>
      <c r="M23" s="14"/>
      <c r="N23" s="13" t="str">
        <f aca="false">IF(COUNTA($A23,$D23:$I23,$K23:$M23)=0,"",IF($A23="","Add Loan UID",IF(ISNA(MATCH($A23,'Loans (reference)'!$A$2:$A$500,0)),"UID not in Loans tab",IF($D23="","Add payment no.",IF(COUNTIFS($A$2:$A$300,$A23,$D$2:$D$300,$D23)&gt;1,"Duplicate payment no.",IF($E23="","Add payment date",IF(COUNT($F23:$H23)=0,"Add an amount","Ready")))))))</f>
        <v/>
      </c>
      <c r="O23" s="18"/>
      <c r="P23" s="19"/>
    </row>
    <row r="24" customFormat="false" ht="15" hidden="false" customHeight="false" outlineLevel="0" collapsed="false">
      <c r="A24" s="12"/>
      <c r="B24" s="13" t="str">
        <f aca="false">IF($A24="","",IFERROR(INDEX('Loans (reference)'!$B$2:$B$500,MATCH($A24,'Loans (reference)'!$A$2:$A$500,0)),"not found"))</f>
        <v/>
      </c>
      <c r="C24" s="13" t="str">
        <f aca="false">IF($A24="","",IFERROR(INDEX('Loans (reference)'!$K$2:$K$500,MATCH($A24,'Loans (reference)'!$A$2:$A$500,0)),""))</f>
        <v/>
      </c>
      <c r="D24" s="14"/>
      <c r="E24" s="15"/>
      <c r="F24" s="16"/>
      <c r="G24" s="16"/>
      <c r="H24" s="16"/>
      <c r="I24" s="16"/>
      <c r="J24" s="17" t="str">
        <f aca="false">IF(COUNT($F24:$H24)=0,"",SUM($F24:$H24))</f>
        <v/>
      </c>
      <c r="K24" s="14"/>
      <c r="L24" s="14"/>
      <c r="M24" s="14"/>
      <c r="N24" s="13" t="str">
        <f aca="false">IF(COUNTA($A24,$D24:$I24,$K24:$M24)=0,"",IF($A24="","Add Loan UID",IF(ISNA(MATCH($A24,'Loans (reference)'!$A$2:$A$500,0)),"UID not in Loans tab",IF($D24="","Add payment no.",IF(COUNTIFS($A$2:$A$300,$A24,$D$2:$D$300,$D24)&gt;1,"Duplicate payment no.",IF($E24="","Add payment date",IF(COUNT($F24:$H24)=0,"Add an amount","Ready")))))))</f>
        <v/>
      </c>
      <c r="O24" s="18"/>
      <c r="P24" s="19"/>
    </row>
    <row r="25" customFormat="false" ht="15" hidden="false" customHeight="false" outlineLevel="0" collapsed="false">
      <c r="A25" s="12"/>
      <c r="B25" s="13" t="str">
        <f aca="false">IF($A25="","",IFERROR(INDEX('Loans (reference)'!$B$2:$B$500,MATCH($A25,'Loans (reference)'!$A$2:$A$500,0)),"not found"))</f>
        <v/>
      </c>
      <c r="C25" s="13" t="str">
        <f aca="false">IF($A25="","",IFERROR(INDEX('Loans (reference)'!$K$2:$K$500,MATCH($A25,'Loans (reference)'!$A$2:$A$500,0)),""))</f>
        <v/>
      </c>
      <c r="D25" s="14"/>
      <c r="E25" s="15"/>
      <c r="F25" s="16"/>
      <c r="G25" s="16"/>
      <c r="H25" s="16"/>
      <c r="I25" s="16"/>
      <c r="J25" s="17" t="str">
        <f aca="false">IF(COUNT($F25:$H25)=0,"",SUM($F25:$H25))</f>
        <v/>
      </c>
      <c r="K25" s="14"/>
      <c r="L25" s="14"/>
      <c r="M25" s="14"/>
      <c r="N25" s="13" t="str">
        <f aca="false">IF(COUNTA($A25,$D25:$I25,$K25:$M25)=0,"",IF($A25="","Add Loan UID",IF(ISNA(MATCH($A25,'Loans (reference)'!$A$2:$A$500,0)),"UID not in Loans tab",IF($D25="","Add payment no.",IF(COUNTIFS($A$2:$A$300,$A25,$D$2:$D$300,$D25)&gt;1,"Duplicate payment no.",IF($E25="","Add payment date",IF(COUNT($F25:$H25)=0,"Add an amount","Ready")))))))</f>
        <v/>
      </c>
      <c r="O25" s="18"/>
      <c r="P25" s="19"/>
    </row>
    <row r="26" customFormat="false" ht="15" hidden="false" customHeight="false" outlineLevel="0" collapsed="false">
      <c r="A26" s="12"/>
      <c r="B26" s="13" t="str">
        <f aca="false">IF($A26="","",IFERROR(INDEX('Loans (reference)'!$B$2:$B$500,MATCH($A26,'Loans (reference)'!$A$2:$A$500,0)),"not found"))</f>
        <v/>
      </c>
      <c r="C26" s="13" t="str">
        <f aca="false">IF($A26="","",IFERROR(INDEX('Loans (reference)'!$K$2:$K$500,MATCH($A26,'Loans (reference)'!$A$2:$A$500,0)),""))</f>
        <v/>
      </c>
      <c r="D26" s="14"/>
      <c r="E26" s="15"/>
      <c r="F26" s="16"/>
      <c r="G26" s="16"/>
      <c r="H26" s="16"/>
      <c r="I26" s="16"/>
      <c r="J26" s="17" t="str">
        <f aca="false">IF(COUNT($F26:$H26)=0,"",SUM($F26:$H26))</f>
        <v/>
      </c>
      <c r="K26" s="14"/>
      <c r="L26" s="14"/>
      <c r="M26" s="14"/>
      <c r="N26" s="13" t="str">
        <f aca="false">IF(COUNTA($A26,$D26:$I26,$K26:$M26)=0,"",IF($A26="","Add Loan UID",IF(ISNA(MATCH($A26,'Loans (reference)'!$A$2:$A$500,0)),"UID not in Loans tab",IF($D26="","Add payment no.",IF(COUNTIFS($A$2:$A$300,$A26,$D$2:$D$300,$D26)&gt;1,"Duplicate payment no.",IF($E26="","Add payment date",IF(COUNT($F26:$H26)=0,"Add an amount","Ready")))))))</f>
        <v/>
      </c>
      <c r="O26" s="18"/>
      <c r="P26" s="19"/>
    </row>
    <row r="27" customFormat="false" ht="15" hidden="false" customHeight="false" outlineLevel="0" collapsed="false">
      <c r="A27" s="12"/>
      <c r="B27" s="13" t="str">
        <f aca="false">IF($A27="","",IFERROR(INDEX('Loans (reference)'!$B$2:$B$500,MATCH($A27,'Loans (reference)'!$A$2:$A$500,0)),"not found"))</f>
        <v/>
      </c>
      <c r="C27" s="13" t="str">
        <f aca="false">IF($A27="","",IFERROR(INDEX('Loans (reference)'!$K$2:$K$500,MATCH($A27,'Loans (reference)'!$A$2:$A$500,0)),""))</f>
        <v/>
      </c>
      <c r="D27" s="14"/>
      <c r="E27" s="15"/>
      <c r="F27" s="16"/>
      <c r="G27" s="16"/>
      <c r="H27" s="16"/>
      <c r="I27" s="16"/>
      <c r="J27" s="17" t="str">
        <f aca="false">IF(COUNT($F27:$H27)=0,"",SUM($F27:$H27))</f>
        <v/>
      </c>
      <c r="K27" s="14"/>
      <c r="L27" s="14"/>
      <c r="M27" s="14"/>
      <c r="N27" s="13" t="str">
        <f aca="false">IF(COUNTA($A27,$D27:$I27,$K27:$M27)=0,"",IF($A27="","Add Loan UID",IF(ISNA(MATCH($A27,'Loans (reference)'!$A$2:$A$500,0)),"UID not in Loans tab",IF($D27="","Add payment no.",IF(COUNTIFS($A$2:$A$300,$A27,$D$2:$D$300,$D27)&gt;1,"Duplicate payment no.",IF($E27="","Add payment date",IF(COUNT($F27:$H27)=0,"Add an amount","Ready")))))))</f>
        <v/>
      </c>
      <c r="O27" s="18"/>
      <c r="P27" s="19"/>
    </row>
    <row r="28" customFormat="false" ht="15" hidden="false" customHeight="false" outlineLevel="0" collapsed="false">
      <c r="A28" s="12"/>
      <c r="B28" s="13" t="str">
        <f aca="false">IF($A28="","",IFERROR(INDEX('Loans (reference)'!$B$2:$B$500,MATCH($A28,'Loans (reference)'!$A$2:$A$500,0)),"not found"))</f>
        <v/>
      </c>
      <c r="C28" s="13" t="str">
        <f aca="false">IF($A28="","",IFERROR(INDEX('Loans (reference)'!$K$2:$K$500,MATCH($A28,'Loans (reference)'!$A$2:$A$500,0)),""))</f>
        <v/>
      </c>
      <c r="D28" s="14"/>
      <c r="E28" s="15"/>
      <c r="F28" s="16"/>
      <c r="G28" s="16"/>
      <c r="H28" s="16"/>
      <c r="I28" s="16"/>
      <c r="J28" s="17" t="str">
        <f aca="false">IF(COUNT($F28:$H28)=0,"",SUM($F28:$H28))</f>
        <v/>
      </c>
      <c r="K28" s="14"/>
      <c r="L28" s="14"/>
      <c r="M28" s="14"/>
      <c r="N28" s="13" t="str">
        <f aca="false">IF(COUNTA($A28,$D28:$I28,$K28:$M28)=0,"",IF($A28="","Add Loan UID",IF(ISNA(MATCH($A28,'Loans (reference)'!$A$2:$A$500,0)),"UID not in Loans tab",IF($D28="","Add payment no.",IF(COUNTIFS($A$2:$A$300,$A28,$D$2:$D$300,$D28)&gt;1,"Duplicate payment no.",IF($E28="","Add payment date",IF(COUNT($F28:$H28)=0,"Add an amount","Ready")))))))</f>
        <v/>
      </c>
      <c r="O28" s="18"/>
      <c r="P28" s="19"/>
    </row>
    <row r="29" customFormat="false" ht="15" hidden="false" customHeight="false" outlineLevel="0" collapsed="false">
      <c r="A29" s="12"/>
      <c r="B29" s="13" t="str">
        <f aca="false">IF($A29="","",IFERROR(INDEX('Loans (reference)'!$B$2:$B$500,MATCH($A29,'Loans (reference)'!$A$2:$A$500,0)),"not found"))</f>
        <v/>
      </c>
      <c r="C29" s="13" t="str">
        <f aca="false">IF($A29="","",IFERROR(INDEX('Loans (reference)'!$K$2:$K$500,MATCH($A29,'Loans (reference)'!$A$2:$A$500,0)),""))</f>
        <v/>
      </c>
      <c r="D29" s="14"/>
      <c r="E29" s="15"/>
      <c r="F29" s="16"/>
      <c r="G29" s="16"/>
      <c r="H29" s="16"/>
      <c r="I29" s="16"/>
      <c r="J29" s="17" t="str">
        <f aca="false">IF(COUNT($F29:$H29)=0,"",SUM($F29:$H29))</f>
        <v/>
      </c>
      <c r="K29" s="14"/>
      <c r="L29" s="14"/>
      <c r="M29" s="14"/>
      <c r="N29" s="13" t="str">
        <f aca="false">IF(COUNTA($A29,$D29:$I29,$K29:$M29)=0,"",IF($A29="","Add Loan UID",IF(ISNA(MATCH($A29,'Loans (reference)'!$A$2:$A$500,0)),"UID not in Loans tab",IF($D29="","Add payment no.",IF(COUNTIFS($A$2:$A$300,$A29,$D$2:$D$300,$D29)&gt;1,"Duplicate payment no.",IF($E29="","Add payment date",IF(COUNT($F29:$H29)=0,"Add an amount","Ready")))))))</f>
        <v/>
      </c>
      <c r="O29" s="18"/>
      <c r="P29" s="19"/>
    </row>
    <row r="30" customFormat="false" ht="15" hidden="false" customHeight="false" outlineLevel="0" collapsed="false">
      <c r="A30" s="12"/>
      <c r="B30" s="13" t="str">
        <f aca="false">IF($A30="","",IFERROR(INDEX('Loans (reference)'!$B$2:$B$500,MATCH($A30,'Loans (reference)'!$A$2:$A$500,0)),"not found"))</f>
        <v/>
      </c>
      <c r="C30" s="13" t="str">
        <f aca="false">IF($A30="","",IFERROR(INDEX('Loans (reference)'!$K$2:$K$500,MATCH($A30,'Loans (reference)'!$A$2:$A$500,0)),""))</f>
        <v/>
      </c>
      <c r="D30" s="14"/>
      <c r="E30" s="15"/>
      <c r="F30" s="16"/>
      <c r="G30" s="16"/>
      <c r="H30" s="16"/>
      <c r="I30" s="16"/>
      <c r="J30" s="17" t="str">
        <f aca="false">IF(COUNT($F30:$H30)=0,"",SUM($F30:$H30))</f>
        <v/>
      </c>
      <c r="K30" s="14"/>
      <c r="L30" s="14"/>
      <c r="M30" s="14"/>
      <c r="N30" s="13" t="str">
        <f aca="false">IF(COUNTA($A30,$D30:$I30,$K30:$M30)=0,"",IF($A30="","Add Loan UID",IF(ISNA(MATCH($A30,'Loans (reference)'!$A$2:$A$500,0)),"UID not in Loans tab",IF($D30="","Add payment no.",IF(COUNTIFS($A$2:$A$300,$A30,$D$2:$D$300,$D30)&gt;1,"Duplicate payment no.",IF($E30="","Add payment date",IF(COUNT($F30:$H30)=0,"Add an amount","Ready")))))))</f>
        <v/>
      </c>
      <c r="O30" s="18"/>
      <c r="P30" s="19"/>
    </row>
    <row r="31" customFormat="false" ht="15" hidden="false" customHeight="false" outlineLevel="0" collapsed="false">
      <c r="A31" s="12"/>
      <c r="B31" s="13" t="str">
        <f aca="false">IF($A31="","",IFERROR(INDEX('Loans (reference)'!$B$2:$B$500,MATCH($A31,'Loans (reference)'!$A$2:$A$500,0)),"not found"))</f>
        <v/>
      </c>
      <c r="C31" s="13" t="str">
        <f aca="false">IF($A31="","",IFERROR(INDEX('Loans (reference)'!$K$2:$K$500,MATCH($A31,'Loans (reference)'!$A$2:$A$500,0)),""))</f>
        <v/>
      </c>
      <c r="D31" s="14"/>
      <c r="E31" s="15"/>
      <c r="F31" s="16"/>
      <c r="G31" s="16"/>
      <c r="H31" s="16"/>
      <c r="I31" s="16"/>
      <c r="J31" s="17" t="str">
        <f aca="false">IF(COUNT($F31:$H31)=0,"",SUM($F31:$H31))</f>
        <v/>
      </c>
      <c r="K31" s="14"/>
      <c r="L31" s="14"/>
      <c r="M31" s="14"/>
      <c r="N31" s="13" t="str">
        <f aca="false">IF(COUNTA($A31,$D31:$I31,$K31:$M31)=0,"",IF($A31="","Add Loan UID",IF(ISNA(MATCH($A31,'Loans (reference)'!$A$2:$A$500,0)),"UID not in Loans tab",IF($D31="","Add payment no.",IF(COUNTIFS($A$2:$A$300,$A31,$D$2:$D$300,$D31)&gt;1,"Duplicate payment no.",IF($E31="","Add payment date",IF(COUNT($F31:$H31)=0,"Add an amount","Ready")))))))</f>
        <v/>
      </c>
      <c r="O31" s="18"/>
      <c r="P31" s="19"/>
    </row>
    <row r="32" customFormat="false" ht="15" hidden="false" customHeight="false" outlineLevel="0" collapsed="false">
      <c r="A32" s="12"/>
      <c r="B32" s="13" t="str">
        <f aca="false">IF($A32="","",IFERROR(INDEX('Loans (reference)'!$B$2:$B$500,MATCH($A32,'Loans (reference)'!$A$2:$A$500,0)),"not found"))</f>
        <v/>
      </c>
      <c r="C32" s="13" t="str">
        <f aca="false">IF($A32="","",IFERROR(INDEX('Loans (reference)'!$K$2:$K$500,MATCH($A32,'Loans (reference)'!$A$2:$A$500,0)),""))</f>
        <v/>
      </c>
      <c r="D32" s="14"/>
      <c r="E32" s="15"/>
      <c r="F32" s="16"/>
      <c r="G32" s="16"/>
      <c r="H32" s="16"/>
      <c r="I32" s="16"/>
      <c r="J32" s="17" t="str">
        <f aca="false">IF(COUNT($F32:$H32)=0,"",SUM($F32:$H32))</f>
        <v/>
      </c>
      <c r="K32" s="14"/>
      <c r="L32" s="14"/>
      <c r="M32" s="14"/>
      <c r="N32" s="13" t="str">
        <f aca="false">IF(COUNTA($A32,$D32:$I32,$K32:$M32)=0,"",IF($A32="","Add Loan UID",IF(ISNA(MATCH($A32,'Loans (reference)'!$A$2:$A$500,0)),"UID not in Loans tab",IF($D32="","Add payment no.",IF(COUNTIFS($A$2:$A$300,$A32,$D$2:$D$300,$D32)&gt;1,"Duplicate payment no.",IF($E32="","Add payment date",IF(COUNT($F32:$H32)=0,"Add an amount","Ready")))))))</f>
        <v/>
      </c>
      <c r="O32" s="18"/>
      <c r="P32" s="19"/>
    </row>
    <row r="33" customFormat="false" ht="15" hidden="false" customHeight="false" outlineLevel="0" collapsed="false">
      <c r="A33" s="12"/>
      <c r="B33" s="13" t="str">
        <f aca="false">IF($A33="","",IFERROR(INDEX('Loans (reference)'!$B$2:$B$500,MATCH($A33,'Loans (reference)'!$A$2:$A$500,0)),"not found"))</f>
        <v/>
      </c>
      <c r="C33" s="13" t="str">
        <f aca="false">IF($A33="","",IFERROR(INDEX('Loans (reference)'!$K$2:$K$500,MATCH($A33,'Loans (reference)'!$A$2:$A$500,0)),""))</f>
        <v/>
      </c>
      <c r="D33" s="14"/>
      <c r="E33" s="15"/>
      <c r="F33" s="16"/>
      <c r="G33" s="16"/>
      <c r="H33" s="16"/>
      <c r="I33" s="16"/>
      <c r="J33" s="17" t="str">
        <f aca="false">IF(COUNT($F33:$H33)=0,"",SUM($F33:$H33))</f>
        <v/>
      </c>
      <c r="K33" s="14"/>
      <c r="L33" s="14"/>
      <c r="M33" s="14"/>
      <c r="N33" s="13" t="str">
        <f aca="false">IF(COUNTA($A33,$D33:$I33,$K33:$M33)=0,"",IF($A33="","Add Loan UID",IF(ISNA(MATCH($A33,'Loans (reference)'!$A$2:$A$500,0)),"UID not in Loans tab",IF($D33="","Add payment no.",IF(COUNTIFS($A$2:$A$300,$A33,$D$2:$D$300,$D33)&gt;1,"Duplicate payment no.",IF($E33="","Add payment date",IF(COUNT($F33:$H33)=0,"Add an amount","Ready")))))))</f>
        <v/>
      </c>
      <c r="O33" s="18"/>
      <c r="P33" s="19"/>
    </row>
    <row r="34" customFormat="false" ht="15" hidden="false" customHeight="false" outlineLevel="0" collapsed="false">
      <c r="A34" s="12"/>
      <c r="B34" s="13" t="str">
        <f aca="false">IF($A34="","",IFERROR(INDEX('Loans (reference)'!$B$2:$B$500,MATCH($A34,'Loans (reference)'!$A$2:$A$500,0)),"not found"))</f>
        <v/>
      </c>
      <c r="C34" s="13" t="str">
        <f aca="false">IF($A34="","",IFERROR(INDEX('Loans (reference)'!$K$2:$K$500,MATCH($A34,'Loans (reference)'!$A$2:$A$500,0)),""))</f>
        <v/>
      </c>
      <c r="D34" s="14"/>
      <c r="E34" s="15"/>
      <c r="F34" s="16"/>
      <c r="G34" s="16"/>
      <c r="H34" s="16"/>
      <c r="I34" s="16"/>
      <c r="J34" s="17" t="str">
        <f aca="false">IF(COUNT($F34:$H34)=0,"",SUM($F34:$H34))</f>
        <v/>
      </c>
      <c r="K34" s="14"/>
      <c r="L34" s="14"/>
      <c r="M34" s="14"/>
      <c r="N34" s="13" t="str">
        <f aca="false">IF(COUNTA($A34,$D34:$I34,$K34:$M34)=0,"",IF($A34="","Add Loan UID",IF(ISNA(MATCH($A34,'Loans (reference)'!$A$2:$A$500,0)),"UID not in Loans tab",IF($D34="","Add payment no.",IF(COUNTIFS($A$2:$A$300,$A34,$D$2:$D$300,$D34)&gt;1,"Duplicate payment no.",IF($E34="","Add payment date",IF(COUNT($F34:$H34)=0,"Add an amount","Ready")))))))</f>
        <v/>
      </c>
      <c r="O34" s="18"/>
      <c r="P34" s="19"/>
    </row>
    <row r="35" customFormat="false" ht="15" hidden="false" customHeight="false" outlineLevel="0" collapsed="false">
      <c r="A35" s="12"/>
      <c r="B35" s="13" t="str">
        <f aca="false">IF($A35="","",IFERROR(INDEX('Loans (reference)'!$B$2:$B$500,MATCH($A35,'Loans (reference)'!$A$2:$A$500,0)),"not found"))</f>
        <v/>
      </c>
      <c r="C35" s="13" t="str">
        <f aca="false">IF($A35="","",IFERROR(INDEX('Loans (reference)'!$K$2:$K$500,MATCH($A35,'Loans (reference)'!$A$2:$A$500,0)),""))</f>
        <v/>
      </c>
      <c r="D35" s="14"/>
      <c r="E35" s="15"/>
      <c r="F35" s="16"/>
      <c r="G35" s="16"/>
      <c r="H35" s="16"/>
      <c r="I35" s="16"/>
      <c r="J35" s="17" t="str">
        <f aca="false">IF(COUNT($F35:$H35)=0,"",SUM($F35:$H35))</f>
        <v/>
      </c>
      <c r="K35" s="14"/>
      <c r="L35" s="14"/>
      <c r="M35" s="14"/>
      <c r="N35" s="13" t="str">
        <f aca="false">IF(COUNTA($A35,$D35:$I35,$K35:$M35)=0,"",IF($A35="","Add Loan UID",IF(ISNA(MATCH($A35,'Loans (reference)'!$A$2:$A$500,0)),"UID not in Loans tab",IF($D35="","Add payment no.",IF(COUNTIFS($A$2:$A$300,$A35,$D$2:$D$300,$D35)&gt;1,"Duplicate payment no.",IF($E35="","Add payment date",IF(COUNT($F35:$H35)=0,"Add an amount","Ready")))))))</f>
        <v/>
      </c>
      <c r="O35" s="18"/>
      <c r="P35" s="19"/>
    </row>
    <row r="36" customFormat="false" ht="15" hidden="false" customHeight="false" outlineLevel="0" collapsed="false">
      <c r="A36" s="12"/>
      <c r="B36" s="13" t="str">
        <f aca="false">IF($A36="","",IFERROR(INDEX('Loans (reference)'!$B$2:$B$500,MATCH($A36,'Loans (reference)'!$A$2:$A$500,0)),"not found"))</f>
        <v/>
      </c>
      <c r="C36" s="13" t="str">
        <f aca="false">IF($A36="","",IFERROR(INDEX('Loans (reference)'!$K$2:$K$500,MATCH($A36,'Loans (reference)'!$A$2:$A$500,0)),""))</f>
        <v/>
      </c>
      <c r="D36" s="14"/>
      <c r="E36" s="15"/>
      <c r="F36" s="16"/>
      <c r="G36" s="16"/>
      <c r="H36" s="16"/>
      <c r="I36" s="16"/>
      <c r="J36" s="17" t="str">
        <f aca="false">IF(COUNT($F36:$H36)=0,"",SUM($F36:$H36))</f>
        <v/>
      </c>
      <c r="K36" s="14"/>
      <c r="L36" s="14"/>
      <c r="M36" s="14"/>
      <c r="N36" s="13" t="str">
        <f aca="false">IF(COUNTA($A36,$D36:$I36,$K36:$M36)=0,"",IF($A36="","Add Loan UID",IF(ISNA(MATCH($A36,'Loans (reference)'!$A$2:$A$500,0)),"UID not in Loans tab",IF($D36="","Add payment no.",IF(COUNTIFS($A$2:$A$300,$A36,$D$2:$D$300,$D36)&gt;1,"Duplicate payment no.",IF($E36="","Add payment date",IF(COUNT($F36:$H36)=0,"Add an amount","Ready")))))))</f>
        <v/>
      </c>
      <c r="O36" s="18"/>
      <c r="P36" s="19"/>
    </row>
    <row r="37" customFormat="false" ht="15" hidden="false" customHeight="false" outlineLevel="0" collapsed="false">
      <c r="A37" s="12"/>
      <c r="B37" s="13" t="str">
        <f aca="false">IF($A37="","",IFERROR(INDEX('Loans (reference)'!$B$2:$B$500,MATCH($A37,'Loans (reference)'!$A$2:$A$500,0)),"not found"))</f>
        <v/>
      </c>
      <c r="C37" s="13" t="str">
        <f aca="false">IF($A37="","",IFERROR(INDEX('Loans (reference)'!$K$2:$K$500,MATCH($A37,'Loans (reference)'!$A$2:$A$500,0)),""))</f>
        <v/>
      </c>
      <c r="D37" s="14"/>
      <c r="E37" s="15"/>
      <c r="F37" s="16"/>
      <c r="G37" s="16"/>
      <c r="H37" s="16"/>
      <c r="I37" s="16"/>
      <c r="J37" s="17" t="str">
        <f aca="false">IF(COUNT($F37:$H37)=0,"",SUM($F37:$H37))</f>
        <v/>
      </c>
      <c r="K37" s="14"/>
      <c r="L37" s="14"/>
      <c r="M37" s="14"/>
      <c r="N37" s="13" t="str">
        <f aca="false">IF(COUNTA($A37,$D37:$I37,$K37:$M37)=0,"",IF($A37="","Add Loan UID",IF(ISNA(MATCH($A37,'Loans (reference)'!$A$2:$A$500,0)),"UID not in Loans tab",IF($D37="","Add payment no.",IF(COUNTIFS($A$2:$A$300,$A37,$D$2:$D$300,$D37)&gt;1,"Duplicate payment no.",IF($E37="","Add payment date",IF(COUNT($F37:$H37)=0,"Add an amount","Ready")))))))</f>
        <v/>
      </c>
      <c r="O37" s="18"/>
      <c r="P37" s="19"/>
    </row>
    <row r="38" customFormat="false" ht="15" hidden="false" customHeight="false" outlineLevel="0" collapsed="false">
      <c r="A38" s="12"/>
      <c r="B38" s="13" t="str">
        <f aca="false">IF($A38="","",IFERROR(INDEX('Loans (reference)'!$B$2:$B$500,MATCH($A38,'Loans (reference)'!$A$2:$A$500,0)),"not found"))</f>
        <v/>
      </c>
      <c r="C38" s="13" t="str">
        <f aca="false">IF($A38="","",IFERROR(INDEX('Loans (reference)'!$K$2:$K$500,MATCH($A38,'Loans (reference)'!$A$2:$A$500,0)),""))</f>
        <v/>
      </c>
      <c r="D38" s="14"/>
      <c r="E38" s="15"/>
      <c r="F38" s="16"/>
      <c r="G38" s="16"/>
      <c r="H38" s="16"/>
      <c r="I38" s="16"/>
      <c r="J38" s="17" t="str">
        <f aca="false">IF(COUNT($F38:$H38)=0,"",SUM($F38:$H38))</f>
        <v/>
      </c>
      <c r="K38" s="14"/>
      <c r="L38" s="14"/>
      <c r="M38" s="14"/>
      <c r="N38" s="13" t="str">
        <f aca="false">IF(COUNTA($A38,$D38:$I38,$K38:$M38)=0,"",IF($A38="","Add Loan UID",IF(ISNA(MATCH($A38,'Loans (reference)'!$A$2:$A$500,0)),"UID not in Loans tab",IF($D38="","Add payment no.",IF(COUNTIFS($A$2:$A$300,$A38,$D$2:$D$300,$D38)&gt;1,"Duplicate payment no.",IF($E38="","Add payment date",IF(COUNT($F38:$H38)=0,"Add an amount","Ready")))))))</f>
        <v/>
      </c>
      <c r="O38" s="18"/>
      <c r="P38" s="19"/>
    </row>
    <row r="39" customFormat="false" ht="15" hidden="false" customHeight="false" outlineLevel="0" collapsed="false">
      <c r="A39" s="12"/>
      <c r="B39" s="13" t="str">
        <f aca="false">IF($A39="","",IFERROR(INDEX('Loans (reference)'!$B$2:$B$500,MATCH($A39,'Loans (reference)'!$A$2:$A$500,0)),"not found"))</f>
        <v/>
      </c>
      <c r="C39" s="13" t="str">
        <f aca="false">IF($A39="","",IFERROR(INDEX('Loans (reference)'!$K$2:$K$500,MATCH($A39,'Loans (reference)'!$A$2:$A$500,0)),""))</f>
        <v/>
      </c>
      <c r="D39" s="14"/>
      <c r="E39" s="15"/>
      <c r="F39" s="16"/>
      <c r="G39" s="16"/>
      <c r="H39" s="16"/>
      <c r="I39" s="16"/>
      <c r="J39" s="17" t="str">
        <f aca="false">IF(COUNT($F39:$H39)=0,"",SUM($F39:$H39))</f>
        <v/>
      </c>
      <c r="K39" s="14"/>
      <c r="L39" s="14"/>
      <c r="M39" s="14"/>
      <c r="N39" s="13" t="str">
        <f aca="false">IF(COUNTA($A39,$D39:$I39,$K39:$M39)=0,"",IF($A39="","Add Loan UID",IF(ISNA(MATCH($A39,'Loans (reference)'!$A$2:$A$500,0)),"UID not in Loans tab",IF($D39="","Add payment no.",IF(COUNTIFS($A$2:$A$300,$A39,$D$2:$D$300,$D39)&gt;1,"Duplicate payment no.",IF($E39="","Add payment date",IF(COUNT($F39:$H39)=0,"Add an amount","Ready")))))))</f>
        <v/>
      </c>
      <c r="O39" s="18"/>
      <c r="P39" s="19"/>
    </row>
    <row r="40" customFormat="false" ht="15" hidden="false" customHeight="false" outlineLevel="0" collapsed="false">
      <c r="A40" s="12"/>
      <c r="B40" s="13" t="str">
        <f aca="false">IF($A40="","",IFERROR(INDEX('Loans (reference)'!$B$2:$B$500,MATCH($A40,'Loans (reference)'!$A$2:$A$500,0)),"not found"))</f>
        <v/>
      </c>
      <c r="C40" s="13" t="str">
        <f aca="false">IF($A40="","",IFERROR(INDEX('Loans (reference)'!$K$2:$K$500,MATCH($A40,'Loans (reference)'!$A$2:$A$500,0)),""))</f>
        <v/>
      </c>
      <c r="D40" s="14"/>
      <c r="E40" s="15"/>
      <c r="F40" s="16"/>
      <c r="G40" s="16"/>
      <c r="H40" s="16"/>
      <c r="I40" s="16"/>
      <c r="J40" s="17" t="str">
        <f aca="false">IF(COUNT($F40:$H40)=0,"",SUM($F40:$H40))</f>
        <v/>
      </c>
      <c r="K40" s="14"/>
      <c r="L40" s="14"/>
      <c r="M40" s="14"/>
      <c r="N40" s="13" t="str">
        <f aca="false">IF(COUNTA($A40,$D40:$I40,$K40:$M40)=0,"",IF($A40="","Add Loan UID",IF(ISNA(MATCH($A40,'Loans (reference)'!$A$2:$A$500,0)),"UID not in Loans tab",IF($D40="","Add payment no.",IF(COUNTIFS($A$2:$A$300,$A40,$D$2:$D$300,$D40)&gt;1,"Duplicate payment no.",IF($E40="","Add payment date",IF(COUNT($F40:$H40)=0,"Add an amount","Ready")))))))</f>
        <v/>
      </c>
      <c r="O40" s="18"/>
      <c r="P40" s="19"/>
    </row>
    <row r="41" customFormat="false" ht="15" hidden="false" customHeight="false" outlineLevel="0" collapsed="false">
      <c r="A41" s="12"/>
      <c r="B41" s="13" t="str">
        <f aca="false">IF($A41="","",IFERROR(INDEX('Loans (reference)'!$B$2:$B$500,MATCH($A41,'Loans (reference)'!$A$2:$A$500,0)),"not found"))</f>
        <v/>
      </c>
      <c r="C41" s="13" t="str">
        <f aca="false">IF($A41="","",IFERROR(INDEX('Loans (reference)'!$K$2:$K$500,MATCH($A41,'Loans (reference)'!$A$2:$A$500,0)),""))</f>
        <v/>
      </c>
      <c r="D41" s="14"/>
      <c r="E41" s="15"/>
      <c r="F41" s="16"/>
      <c r="G41" s="16"/>
      <c r="H41" s="16"/>
      <c r="I41" s="16"/>
      <c r="J41" s="17" t="str">
        <f aca="false">IF(COUNT($F41:$H41)=0,"",SUM($F41:$H41))</f>
        <v/>
      </c>
      <c r="K41" s="14"/>
      <c r="L41" s="14"/>
      <c r="M41" s="14"/>
      <c r="N41" s="13" t="str">
        <f aca="false">IF(COUNTA($A41,$D41:$I41,$K41:$M41)=0,"",IF($A41="","Add Loan UID",IF(ISNA(MATCH($A41,'Loans (reference)'!$A$2:$A$500,0)),"UID not in Loans tab",IF($D41="","Add payment no.",IF(COUNTIFS($A$2:$A$300,$A41,$D$2:$D$300,$D41)&gt;1,"Duplicate payment no.",IF($E41="","Add payment date",IF(COUNT($F41:$H41)=0,"Add an amount","Ready")))))))</f>
        <v/>
      </c>
      <c r="O41" s="18"/>
      <c r="P41" s="19"/>
    </row>
    <row r="42" customFormat="false" ht="15" hidden="false" customHeight="false" outlineLevel="0" collapsed="false">
      <c r="A42" s="12"/>
      <c r="B42" s="13" t="str">
        <f aca="false">IF($A42="","",IFERROR(INDEX('Loans (reference)'!$B$2:$B$500,MATCH($A42,'Loans (reference)'!$A$2:$A$500,0)),"not found"))</f>
        <v/>
      </c>
      <c r="C42" s="13" t="str">
        <f aca="false">IF($A42="","",IFERROR(INDEX('Loans (reference)'!$K$2:$K$500,MATCH($A42,'Loans (reference)'!$A$2:$A$500,0)),""))</f>
        <v/>
      </c>
      <c r="D42" s="14"/>
      <c r="E42" s="15"/>
      <c r="F42" s="16"/>
      <c r="G42" s="16"/>
      <c r="H42" s="16"/>
      <c r="I42" s="16"/>
      <c r="J42" s="17" t="str">
        <f aca="false">IF(COUNT($F42:$H42)=0,"",SUM($F42:$H42))</f>
        <v/>
      </c>
      <c r="K42" s="14"/>
      <c r="L42" s="14"/>
      <c r="M42" s="14"/>
      <c r="N42" s="13" t="str">
        <f aca="false">IF(COUNTA($A42,$D42:$I42,$K42:$M42)=0,"",IF($A42="","Add Loan UID",IF(ISNA(MATCH($A42,'Loans (reference)'!$A$2:$A$500,0)),"UID not in Loans tab",IF($D42="","Add payment no.",IF(COUNTIFS($A$2:$A$300,$A42,$D$2:$D$300,$D42)&gt;1,"Duplicate payment no.",IF($E42="","Add payment date",IF(COUNT($F42:$H42)=0,"Add an amount","Ready")))))))</f>
        <v/>
      </c>
      <c r="O42" s="18"/>
      <c r="P42" s="19"/>
    </row>
    <row r="43" customFormat="false" ht="15" hidden="false" customHeight="false" outlineLevel="0" collapsed="false">
      <c r="A43" s="12"/>
      <c r="B43" s="13" t="str">
        <f aca="false">IF($A43="","",IFERROR(INDEX('Loans (reference)'!$B$2:$B$500,MATCH($A43,'Loans (reference)'!$A$2:$A$500,0)),"not found"))</f>
        <v/>
      </c>
      <c r="C43" s="13" t="str">
        <f aca="false">IF($A43="","",IFERROR(INDEX('Loans (reference)'!$K$2:$K$500,MATCH($A43,'Loans (reference)'!$A$2:$A$500,0)),""))</f>
        <v/>
      </c>
      <c r="D43" s="14"/>
      <c r="E43" s="15"/>
      <c r="F43" s="16"/>
      <c r="G43" s="16"/>
      <c r="H43" s="16"/>
      <c r="I43" s="16"/>
      <c r="J43" s="17" t="str">
        <f aca="false">IF(COUNT($F43:$H43)=0,"",SUM($F43:$H43))</f>
        <v/>
      </c>
      <c r="K43" s="14"/>
      <c r="L43" s="14"/>
      <c r="M43" s="14"/>
      <c r="N43" s="13" t="str">
        <f aca="false">IF(COUNTA($A43,$D43:$I43,$K43:$M43)=0,"",IF($A43="","Add Loan UID",IF(ISNA(MATCH($A43,'Loans (reference)'!$A$2:$A$500,0)),"UID not in Loans tab",IF($D43="","Add payment no.",IF(COUNTIFS($A$2:$A$300,$A43,$D$2:$D$300,$D43)&gt;1,"Duplicate payment no.",IF($E43="","Add payment date",IF(COUNT($F43:$H43)=0,"Add an amount","Ready")))))))</f>
        <v/>
      </c>
      <c r="O43" s="18"/>
      <c r="P43" s="19"/>
    </row>
    <row r="44" customFormat="false" ht="15" hidden="false" customHeight="false" outlineLevel="0" collapsed="false">
      <c r="A44" s="12"/>
      <c r="B44" s="13" t="str">
        <f aca="false">IF($A44="","",IFERROR(INDEX('Loans (reference)'!$B$2:$B$500,MATCH($A44,'Loans (reference)'!$A$2:$A$500,0)),"not found"))</f>
        <v/>
      </c>
      <c r="C44" s="13" t="str">
        <f aca="false">IF($A44="","",IFERROR(INDEX('Loans (reference)'!$K$2:$K$500,MATCH($A44,'Loans (reference)'!$A$2:$A$500,0)),""))</f>
        <v/>
      </c>
      <c r="D44" s="14"/>
      <c r="E44" s="15"/>
      <c r="F44" s="16"/>
      <c r="G44" s="16"/>
      <c r="H44" s="16"/>
      <c r="I44" s="16"/>
      <c r="J44" s="17" t="str">
        <f aca="false">IF(COUNT($F44:$H44)=0,"",SUM($F44:$H44))</f>
        <v/>
      </c>
      <c r="K44" s="14"/>
      <c r="L44" s="14"/>
      <c r="M44" s="14"/>
      <c r="N44" s="13" t="str">
        <f aca="false">IF(COUNTA($A44,$D44:$I44,$K44:$M44)=0,"",IF($A44="","Add Loan UID",IF(ISNA(MATCH($A44,'Loans (reference)'!$A$2:$A$500,0)),"UID not in Loans tab",IF($D44="","Add payment no.",IF(COUNTIFS($A$2:$A$300,$A44,$D$2:$D$300,$D44)&gt;1,"Duplicate payment no.",IF($E44="","Add payment date",IF(COUNT($F44:$H44)=0,"Add an amount","Ready")))))))</f>
        <v/>
      </c>
      <c r="O44" s="18"/>
      <c r="P44" s="19"/>
    </row>
    <row r="45" customFormat="false" ht="15" hidden="false" customHeight="false" outlineLevel="0" collapsed="false">
      <c r="A45" s="12"/>
      <c r="B45" s="13" t="str">
        <f aca="false">IF($A45="","",IFERROR(INDEX('Loans (reference)'!$B$2:$B$500,MATCH($A45,'Loans (reference)'!$A$2:$A$500,0)),"not found"))</f>
        <v/>
      </c>
      <c r="C45" s="13" t="str">
        <f aca="false">IF($A45="","",IFERROR(INDEX('Loans (reference)'!$K$2:$K$500,MATCH($A45,'Loans (reference)'!$A$2:$A$500,0)),""))</f>
        <v/>
      </c>
      <c r="D45" s="14"/>
      <c r="E45" s="15"/>
      <c r="F45" s="16"/>
      <c r="G45" s="16"/>
      <c r="H45" s="16"/>
      <c r="I45" s="16"/>
      <c r="J45" s="17" t="str">
        <f aca="false">IF(COUNT($F45:$H45)=0,"",SUM($F45:$H45))</f>
        <v/>
      </c>
      <c r="K45" s="14"/>
      <c r="L45" s="14"/>
      <c r="M45" s="14"/>
      <c r="N45" s="13" t="str">
        <f aca="false">IF(COUNTA($A45,$D45:$I45,$K45:$M45)=0,"",IF($A45="","Add Loan UID",IF(ISNA(MATCH($A45,'Loans (reference)'!$A$2:$A$500,0)),"UID not in Loans tab",IF($D45="","Add payment no.",IF(COUNTIFS($A$2:$A$300,$A45,$D$2:$D$300,$D45)&gt;1,"Duplicate payment no.",IF($E45="","Add payment date",IF(COUNT($F45:$H45)=0,"Add an amount","Ready")))))))</f>
        <v/>
      </c>
      <c r="O45" s="18"/>
      <c r="P45" s="19"/>
    </row>
    <row r="46" customFormat="false" ht="15" hidden="false" customHeight="false" outlineLevel="0" collapsed="false">
      <c r="A46" s="12"/>
      <c r="B46" s="13" t="str">
        <f aca="false">IF($A46="","",IFERROR(INDEX('Loans (reference)'!$B$2:$B$500,MATCH($A46,'Loans (reference)'!$A$2:$A$500,0)),"not found"))</f>
        <v/>
      </c>
      <c r="C46" s="13" t="str">
        <f aca="false">IF($A46="","",IFERROR(INDEX('Loans (reference)'!$K$2:$K$500,MATCH($A46,'Loans (reference)'!$A$2:$A$500,0)),""))</f>
        <v/>
      </c>
      <c r="D46" s="14"/>
      <c r="E46" s="15"/>
      <c r="F46" s="16"/>
      <c r="G46" s="16"/>
      <c r="H46" s="16"/>
      <c r="I46" s="16"/>
      <c r="J46" s="17" t="str">
        <f aca="false">IF(COUNT($F46:$H46)=0,"",SUM($F46:$H46))</f>
        <v/>
      </c>
      <c r="K46" s="14"/>
      <c r="L46" s="14"/>
      <c r="M46" s="14"/>
      <c r="N46" s="13" t="str">
        <f aca="false">IF(COUNTA($A46,$D46:$I46,$K46:$M46)=0,"",IF($A46="","Add Loan UID",IF(ISNA(MATCH($A46,'Loans (reference)'!$A$2:$A$500,0)),"UID not in Loans tab",IF($D46="","Add payment no.",IF(COUNTIFS($A$2:$A$300,$A46,$D$2:$D$300,$D46)&gt;1,"Duplicate payment no.",IF($E46="","Add payment date",IF(COUNT($F46:$H46)=0,"Add an amount","Ready")))))))</f>
        <v/>
      </c>
      <c r="O46" s="18"/>
      <c r="P46" s="19"/>
    </row>
    <row r="47" customFormat="false" ht="15" hidden="false" customHeight="false" outlineLevel="0" collapsed="false">
      <c r="A47" s="12"/>
      <c r="B47" s="13" t="str">
        <f aca="false">IF($A47="","",IFERROR(INDEX('Loans (reference)'!$B$2:$B$500,MATCH($A47,'Loans (reference)'!$A$2:$A$500,0)),"not found"))</f>
        <v/>
      </c>
      <c r="C47" s="13" t="str">
        <f aca="false">IF($A47="","",IFERROR(INDEX('Loans (reference)'!$K$2:$K$500,MATCH($A47,'Loans (reference)'!$A$2:$A$500,0)),""))</f>
        <v/>
      </c>
      <c r="D47" s="14"/>
      <c r="E47" s="15"/>
      <c r="F47" s="16"/>
      <c r="G47" s="16"/>
      <c r="H47" s="16"/>
      <c r="I47" s="16"/>
      <c r="J47" s="17" t="str">
        <f aca="false">IF(COUNT($F47:$H47)=0,"",SUM($F47:$H47))</f>
        <v/>
      </c>
      <c r="K47" s="14"/>
      <c r="L47" s="14"/>
      <c r="M47" s="14"/>
      <c r="N47" s="13" t="str">
        <f aca="false">IF(COUNTA($A47,$D47:$I47,$K47:$M47)=0,"",IF($A47="","Add Loan UID",IF(ISNA(MATCH($A47,'Loans (reference)'!$A$2:$A$500,0)),"UID not in Loans tab",IF($D47="","Add payment no.",IF(COUNTIFS($A$2:$A$300,$A47,$D$2:$D$300,$D47)&gt;1,"Duplicate payment no.",IF($E47="","Add payment date",IF(COUNT($F47:$H47)=0,"Add an amount","Ready")))))))</f>
        <v/>
      </c>
      <c r="O47" s="18"/>
      <c r="P47" s="19"/>
    </row>
    <row r="48" customFormat="false" ht="15" hidden="false" customHeight="false" outlineLevel="0" collapsed="false">
      <c r="A48" s="12"/>
      <c r="B48" s="13" t="str">
        <f aca="false">IF($A48="","",IFERROR(INDEX('Loans (reference)'!$B$2:$B$500,MATCH($A48,'Loans (reference)'!$A$2:$A$500,0)),"not found"))</f>
        <v/>
      </c>
      <c r="C48" s="13" t="str">
        <f aca="false">IF($A48="","",IFERROR(INDEX('Loans (reference)'!$K$2:$K$500,MATCH($A48,'Loans (reference)'!$A$2:$A$500,0)),""))</f>
        <v/>
      </c>
      <c r="D48" s="14"/>
      <c r="E48" s="15"/>
      <c r="F48" s="16"/>
      <c r="G48" s="16"/>
      <c r="H48" s="16"/>
      <c r="I48" s="16"/>
      <c r="J48" s="17" t="str">
        <f aca="false">IF(COUNT($F48:$H48)=0,"",SUM($F48:$H48))</f>
        <v/>
      </c>
      <c r="K48" s="14"/>
      <c r="L48" s="14"/>
      <c r="M48" s="14"/>
      <c r="N48" s="13" t="str">
        <f aca="false">IF(COUNTA($A48,$D48:$I48,$K48:$M48)=0,"",IF($A48="","Add Loan UID",IF(ISNA(MATCH($A48,'Loans (reference)'!$A$2:$A$500,0)),"UID not in Loans tab",IF($D48="","Add payment no.",IF(COUNTIFS($A$2:$A$300,$A48,$D$2:$D$300,$D48)&gt;1,"Duplicate payment no.",IF($E48="","Add payment date",IF(COUNT($F48:$H48)=0,"Add an amount","Ready")))))))</f>
        <v/>
      </c>
      <c r="O48" s="18"/>
      <c r="P48" s="19"/>
    </row>
    <row r="49" customFormat="false" ht="15" hidden="false" customHeight="false" outlineLevel="0" collapsed="false">
      <c r="A49" s="12"/>
      <c r="B49" s="13" t="str">
        <f aca="false">IF($A49="","",IFERROR(INDEX('Loans (reference)'!$B$2:$B$500,MATCH($A49,'Loans (reference)'!$A$2:$A$500,0)),"not found"))</f>
        <v/>
      </c>
      <c r="C49" s="13" t="str">
        <f aca="false">IF($A49="","",IFERROR(INDEX('Loans (reference)'!$K$2:$K$500,MATCH($A49,'Loans (reference)'!$A$2:$A$500,0)),""))</f>
        <v/>
      </c>
      <c r="D49" s="14"/>
      <c r="E49" s="15"/>
      <c r="F49" s="16"/>
      <c r="G49" s="16"/>
      <c r="H49" s="16"/>
      <c r="I49" s="16"/>
      <c r="J49" s="17" t="str">
        <f aca="false">IF(COUNT($F49:$H49)=0,"",SUM($F49:$H49))</f>
        <v/>
      </c>
      <c r="K49" s="14"/>
      <c r="L49" s="14"/>
      <c r="M49" s="14"/>
      <c r="N49" s="13" t="str">
        <f aca="false">IF(COUNTA($A49,$D49:$I49,$K49:$M49)=0,"",IF($A49="","Add Loan UID",IF(ISNA(MATCH($A49,'Loans (reference)'!$A$2:$A$500,0)),"UID not in Loans tab",IF($D49="","Add payment no.",IF(COUNTIFS($A$2:$A$300,$A49,$D$2:$D$300,$D49)&gt;1,"Duplicate payment no.",IF($E49="","Add payment date",IF(COUNT($F49:$H49)=0,"Add an amount","Ready")))))))</f>
        <v/>
      </c>
      <c r="O49" s="18"/>
      <c r="P49" s="19"/>
    </row>
    <row r="50" customFormat="false" ht="15" hidden="false" customHeight="false" outlineLevel="0" collapsed="false">
      <c r="A50" s="12"/>
      <c r="B50" s="13" t="str">
        <f aca="false">IF($A50="","",IFERROR(INDEX('Loans (reference)'!$B$2:$B$500,MATCH($A50,'Loans (reference)'!$A$2:$A$500,0)),"not found"))</f>
        <v/>
      </c>
      <c r="C50" s="13" t="str">
        <f aca="false">IF($A50="","",IFERROR(INDEX('Loans (reference)'!$K$2:$K$500,MATCH($A50,'Loans (reference)'!$A$2:$A$500,0)),""))</f>
        <v/>
      </c>
      <c r="D50" s="14"/>
      <c r="E50" s="15"/>
      <c r="F50" s="16"/>
      <c r="G50" s="16"/>
      <c r="H50" s="16"/>
      <c r="I50" s="16"/>
      <c r="J50" s="17" t="str">
        <f aca="false">IF(COUNT($F50:$H50)=0,"",SUM($F50:$H50))</f>
        <v/>
      </c>
      <c r="K50" s="14"/>
      <c r="L50" s="14"/>
      <c r="M50" s="14"/>
      <c r="N50" s="13" t="str">
        <f aca="false">IF(COUNTA($A50,$D50:$I50,$K50:$M50)=0,"",IF($A50="","Add Loan UID",IF(ISNA(MATCH($A50,'Loans (reference)'!$A$2:$A$500,0)),"UID not in Loans tab",IF($D50="","Add payment no.",IF(COUNTIFS($A$2:$A$300,$A50,$D$2:$D$300,$D50)&gt;1,"Duplicate payment no.",IF($E50="","Add payment date",IF(COUNT($F50:$H50)=0,"Add an amount","Ready")))))))</f>
        <v/>
      </c>
      <c r="O50" s="18"/>
      <c r="P50" s="19"/>
    </row>
    <row r="51" customFormat="false" ht="15" hidden="false" customHeight="false" outlineLevel="0" collapsed="false">
      <c r="A51" s="12"/>
      <c r="B51" s="13" t="str">
        <f aca="false">IF($A51="","",IFERROR(INDEX('Loans (reference)'!$B$2:$B$500,MATCH($A51,'Loans (reference)'!$A$2:$A$500,0)),"not found"))</f>
        <v/>
      </c>
      <c r="C51" s="13" t="str">
        <f aca="false">IF($A51="","",IFERROR(INDEX('Loans (reference)'!$K$2:$K$500,MATCH($A51,'Loans (reference)'!$A$2:$A$500,0)),""))</f>
        <v/>
      </c>
      <c r="D51" s="14"/>
      <c r="E51" s="15"/>
      <c r="F51" s="16"/>
      <c r="G51" s="16"/>
      <c r="H51" s="16"/>
      <c r="I51" s="16"/>
      <c r="J51" s="17" t="str">
        <f aca="false">IF(COUNT($F51:$H51)=0,"",SUM($F51:$H51))</f>
        <v/>
      </c>
      <c r="K51" s="14"/>
      <c r="L51" s="14"/>
      <c r="M51" s="14"/>
      <c r="N51" s="13" t="str">
        <f aca="false">IF(COUNTA($A51,$D51:$I51,$K51:$M51)=0,"",IF($A51="","Add Loan UID",IF(ISNA(MATCH($A51,'Loans (reference)'!$A$2:$A$500,0)),"UID not in Loans tab",IF($D51="","Add payment no.",IF(COUNTIFS($A$2:$A$300,$A51,$D$2:$D$300,$D51)&gt;1,"Duplicate payment no.",IF($E51="","Add payment date",IF(COUNT($F51:$H51)=0,"Add an amount","Ready")))))))</f>
        <v/>
      </c>
      <c r="O51" s="18"/>
      <c r="P51" s="19"/>
    </row>
    <row r="52" customFormat="false" ht="15" hidden="false" customHeight="false" outlineLevel="0" collapsed="false">
      <c r="A52" s="12"/>
      <c r="B52" s="13" t="str">
        <f aca="false">IF($A52="","",IFERROR(INDEX('Loans (reference)'!$B$2:$B$500,MATCH($A52,'Loans (reference)'!$A$2:$A$500,0)),"not found"))</f>
        <v/>
      </c>
      <c r="C52" s="13" t="str">
        <f aca="false">IF($A52="","",IFERROR(INDEX('Loans (reference)'!$K$2:$K$500,MATCH($A52,'Loans (reference)'!$A$2:$A$500,0)),""))</f>
        <v/>
      </c>
      <c r="D52" s="14"/>
      <c r="E52" s="15"/>
      <c r="F52" s="16"/>
      <c r="G52" s="16"/>
      <c r="H52" s="16"/>
      <c r="I52" s="16"/>
      <c r="J52" s="17" t="str">
        <f aca="false">IF(COUNT($F52:$H52)=0,"",SUM($F52:$H52))</f>
        <v/>
      </c>
      <c r="K52" s="14"/>
      <c r="L52" s="14"/>
      <c r="M52" s="14"/>
      <c r="N52" s="13" t="str">
        <f aca="false">IF(COUNTA($A52,$D52:$I52,$K52:$M52)=0,"",IF($A52="","Add Loan UID",IF(ISNA(MATCH($A52,'Loans (reference)'!$A$2:$A$500,0)),"UID not in Loans tab",IF($D52="","Add payment no.",IF(COUNTIFS($A$2:$A$300,$A52,$D$2:$D$300,$D52)&gt;1,"Duplicate payment no.",IF($E52="","Add payment date",IF(COUNT($F52:$H52)=0,"Add an amount","Ready")))))))</f>
        <v/>
      </c>
      <c r="O52" s="18"/>
      <c r="P52" s="19"/>
    </row>
    <row r="53" customFormat="false" ht="15" hidden="false" customHeight="false" outlineLevel="0" collapsed="false">
      <c r="A53" s="12"/>
      <c r="B53" s="13" t="str">
        <f aca="false">IF($A53="","",IFERROR(INDEX('Loans (reference)'!$B$2:$B$500,MATCH($A53,'Loans (reference)'!$A$2:$A$500,0)),"not found"))</f>
        <v/>
      </c>
      <c r="C53" s="13" t="str">
        <f aca="false">IF($A53="","",IFERROR(INDEX('Loans (reference)'!$K$2:$K$500,MATCH($A53,'Loans (reference)'!$A$2:$A$500,0)),""))</f>
        <v/>
      </c>
      <c r="D53" s="14"/>
      <c r="E53" s="15"/>
      <c r="F53" s="16"/>
      <c r="G53" s="16"/>
      <c r="H53" s="16"/>
      <c r="I53" s="16"/>
      <c r="J53" s="17" t="str">
        <f aca="false">IF(COUNT($F53:$H53)=0,"",SUM($F53:$H53))</f>
        <v/>
      </c>
      <c r="K53" s="14"/>
      <c r="L53" s="14"/>
      <c r="M53" s="14"/>
      <c r="N53" s="13" t="str">
        <f aca="false">IF(COUNTA($A53,$D53:$I53,$K53:$M53)=0,"",IF($A53="","Add Loan UID",IF(ISNA(MATCH($A53,'Loans (reference)'!$A$2:$A$500,0)),"UID not in Loans tab",IF($D53="","Add payment no.",IF(COUNTIFS($A$2:$A$300,$A53,$D$2:$D$300,$D53)&gt;1,"Duplicate payment no.",IF($E53="","Add payment date",IF(COUNT($F53:$H53)=0,"Add an amount","Ready")))))))</f>
        <v/>
      </c>
      <c r="O53" s="18"/>
      <c r="P53" s="19"/>
    </row>
    <row r="54" customFormat="false" ht="15" hidden="false" customHeight="false" outlineLevel="0" collapsed="false">
      <c r="A54" s="12"/>
      <c r="B54" s="13" t="str">
        <f aca="false">IF($A54="","",IFERROR(INDEX('Loans (reference)'!$B$2:$B$500,MATCH($A54,'Loans (reference)'!$A$2:$A$500,0)),"not found"))</f>
        <v/>
      </c>
      <c r="C54" s="13" t="str">
        <f aca="false">IF($A54="","",IFERROR(INDEX('Loans (reference)'!$K$2:$K$500,MATCH($A54,'Loans (reference)'!$A$2:$A$500,0)),""))</f>
        <v/>
      </c>
      <c r="D54" s="14"/>
      <c r="E54" s="15"/>
      <c r="F54" s="16"/>
      <c r="G54" s="16"/>
      <c r="H54" s="16"/>
      <c r="I54" s="16"/>
      <c r="J54" s="17" t="str">
        <f aca="false">IF(COUNT($F54:$H54)=0,"",SUM($F54:$H54))</f>
        <v/>
      </c>
      <c r="K54" s="14"/>
      <c r="L54" s="14"/>
      <c r="M54" s="14"/>
      <c r="N54" s="13" t="str">
        <f aca="false">IF(COUNTA($A54,$D54:$I54,$K54:$M54)=0,"",IF($A54="","Add Loan UID",IF(ISNA(MATCH($A54,'Loans (reference)'!$A$2:$A$500,0)),"UID not in Loans tab",IF($D54="","Add payment no.",IF(COUNTIFS($A$2:$A$300,$A54,$D$2:$D$300,$D54)&gt;1,"Duplicate payment no.",IF($E54="","Add payment date",IF(COUNT($F54:$H54)=0,"Add an amount","Ready")))))))</f>
        <v/>
      </c>
      <c r="O54" s="18"/>
      <c r="P54" s="19"/>
    </row>
    <row r="55" customFormat="false" ht="15" hidden="false" customHeight="false" outlineLevel="0" collapsed="false">
      <c r="A55" s="12"/>
      <c r="B55" s="13" t="str">
        <f aca="false">IF($A55="","",IFERROR(INDEX('Loans (reference)'!$B$2:$B$500,MATCH($A55,'Loans (reference)'!$A$2:$A$500,0)),"not found"))</f>
        <v/>
      </c>
      <c r="C55" s="13" t="str">
        <f aca="false">IF($A55="","",IFERROR(INDEX('Loans (reference)'!$K$2:$K$500,MATCH($A55,'Loans (reference)'!$A$2:$A$500,0)),""))</f>
        <v/>
      </c>
      <c r="D55" s="14"/>
      <c r="E55" s="15"/>
      <c r="F55" s="16"/>
      <c r="G55" s="16"/>
      <c r="H55" s="16"/>
      <c r="I55" s="16"/>
      <c r="J55" s="17" t="str">
        <f aca="false">IF(COUNT($F55:$H55)=0,"",SUM($F55:$H55))</f>
        <v/>
      </c>
      <c r="K55" s="14"/>
      <c r="L55" s="14"/>
      <c r="M55" s="14"/>
      <c r="N55" s="13" t="str">
        <f aca="false">IF(COUNTA($A55,$D55:$I55,$K55:$M55)=0,"",IF($A55="","Add Loan UID",IF(ISNA(MATCH($A55,'Loans (reference)'!$A$2:$A$500,0)),"UID not in Loans tab",IF($D55="","Add payment no.",IF(COUNTIFS($A$2:$A$300,$A55,$D$2:$D$300,$D55)&gt;1,"Duplicate payment no.",IF($E55="","Add payment date",IF(COUNT($F55:$H55)=0,"Add an amount","Ready")))))))</f>
        <v/>
      </c>
      <c r="O55" s="18"/>
      <c r="P55" s="19"/>
    </row>
    <row r="56" customFormat="false" ht="15" hidden="false" customHeight="false" outlineLevel="0" collapsed="false">
      <c r="A56" s="12"/>
      <c r="B56" s="13" t="str">
        <f aca="false">IF($A56="","",IFERROR(INDEX('Loans (reference)'!$B$2:$B$500,MATCH($A56,'Loans (reference)'!$A$2:$A$500,0)),"not found"))</f>
        <v/>
      </c>
      <c r="C56" s="13" t="str">
        <f aca="false">IF($A56="","",IFERROR(INDEX('Loans (reference)'!$K$2:$K$500,MATCH($A56,'Loans (reference)'!$A$2:$A$500,0)),""))</f>
        <v/>
      </c>
      <c r="D56" s="14"/>
      <c r="E56" s="15"/>
      <c r="F56" s="16"/>
      <c r="G56" s="16"/>
      <c r="H56" s="16"/>
      <c r="I56" s="16"/>
      <c r="J56" s="17" t="str">
        <f aca="false">IF(COUNT($F56:$H56)=0,"",SUM($F56:$H56))</f>
        <v/>
      </c>
      <c r="K56" s="14"/>
      <c r="L56" s="14"/>
      <c r="M56" s="14"/>
      <c r="N56" s="13" t="str">
        <f aca="false">IF(COUNTA($A56,$D56:$I56,$K56:$M56)=0,"",IF($A56="","Add Loan UID",IF(ISNA(MATCH($A56,'Loans (reference)'!$A$2:$A$500,0)),"UID not in Loans tab",IF($D56="","Add payment no.",IF(COUNTIFS($A$2:$A$300,$A56,$D$2:$D$300,$D56)&gt;1,"Duplicate payment no.",IF($E56="","Add payment date",IF(COUNT($F56:$H56)=0,"Add an amount","Ready")))))))</f>
        <v/>
      </c>
      <c r="O56" s="18"/>
      <c r="P56" s="19"/>
    </row>
    <row r="57" customFormat="false" ht="15" hidden="false" customHeight="false" outlineLevel="0" collapsed="false">
      <c r="A57" s="12"/>
      <c r="B57" s="13" t="str">
        <f aca="false">IF($A57="","",IFERROR(INDEX('Loans (reference)'!$B$2:$B$500,MATCH($A57,'Loans (reference)'!$A$2:$A$500,0)),"not found"))</f>
        <v/>
      </c>
      <c r="C57" s="13" t="str">
        <f aca="false">IF($A57="","",IFERROR(INDEX('Loans (reference)'!$K$2:$K$500,MATCH($A57,'Loans (reference)'!$A$2:$A$500,0)),""))</f>
        <v/>
      </c>
      <c r="D57" s="14"/>
      <c r="E57" s="15"/>
      <c r="F57" s="16"/>
      <c r="G57" s="16"/>
      <c r="H57" s="16"/>
      <c r="I57" s="16"/>
      <c r="J57" s="17" t="str">
        <f aca="false">IF(COUNT($F57:$H57)=0,"",SUM($F57:$H57))</f>
        <v/>
      </c>
      <c r="K57" s="14"/>
      <c r="L57" s="14"/>
      <c r="M57" s="14"/>
      <c r="N57" s="13" t="str">
        <f aca="false">IF(COUNTA($A57,$D57:$I57,$K57:$M57)=0,"",IF($A57="","Add Loan UID",IF(ISNA(MATCH($A57,'Loans (reference)'!$A$2:$A$500,0)),"UID not in Loans tab",IF($D57="","Add payment no.",IF(COUNTIFS($A$2:$A$300,$A57,$D$2:$D$300,$D57)&gt;1,"Duplicate payment no.",IF($E57="","Add payment date",IF(COUNT($F57:$H57)=0,"Add an amount","Ready")))))))</f>
        <v/>
      </c>
      <c r="O57" s="18"/>
      <c r="P57" s="19"/>
    </row>
    <row r="58" customFormat="false" ht="15" hidden="false" customHeight="false" outlineLevel="0" collapsed="false">
      <c r="A58" s="12"/>
      <c r="B58" s="13" t="str">
        <f aca="false">IF($A58="","",IFERROR(INDEX('Loans (reference)'!$B$2:$B$500,MATCH($A58,'Loans (reference)'!$A$2:$A$500,0)),"not found"))</f>
        <v/>
      </c>
      <c r="C58" s="13" t="str">
        <f aca="false">IF($A58="","",IFERROR(INDEX('Loans (reference)'!$K$2:$K$500,MATCH($A58,'Loans (reference)'!$A$2:$A$500,0)),""))</f>
        <v/>
      </c>
      <c r="D58" s="14"/>
      <c r="E58" s="15"/>
      <c r="F58" s="16"/>
      <c r="G58" s="16"/>
      <c r="H58" s="16"/>
      <c r="I58" s="16"/>
      <c r="J58" s="17" t="str">
        <f aca="false">IF(COUNT($F58:$H58)=0,"",SUM($F58:$H58))</f>
        <v/>
      </c>
      <c r="K58" s="14"/>
      <c r="L58" s="14"/>
      <c r="M58" s="14"/>
      <c r="N58" s="13" t="str">
        <f aca="false">IF(COUNTA($A58,$D58:$I58,$K58:$M58)=0,"",IF($A58="","Add Loan UID",IF(ISNA(MATCH($A58,'Loans (reference)'!$A$2:$A$500,0)),"UID not in Loans tab",IF($D58="","Add payment no.",IF(COUNTIFS($A$2:$A$300,$A58,$D$2:$D$300,$D58)&gt;1,"Duplicate payment no.",IF($E58="","Add payment date",IF(COUNT($F58:$H58)=0,"Add an amount","Ready")))))))</f>
        <v/>
      </c>
      <c r="O58" s="18"/>
      <c r="P58" s="19"/>
    </row>
    <row r="59" customFormat="false" ht="15" hidden="false" customHeight="false" outlineLevel="0" collapsed="false">
      <c r="A59" s="12"/>
      <c r="B59" s="13" t="str">
        <f aca="false">IF($A59="","",IFERROR(INDEX('Loans (reference)'!$B$2:$B$500,MATCH($A59,'Loans (reference)'!$A$2:$A$500,0)),"not found"))</f>
        <v/>
      </c>
      <c r="C59" s="13" t="str">
        <f aca="false">IF($A59="","",IFERROR(INDEX('Loans (reference)'!$K$2:$K$500,MATCH($A59,'Loans (reference)'!$A$2:$A$500,0)),""))</f>
        <v/>
      </c>
      <c r="D59" s="14"/>
      <c r="E59" s="15"/>
      <c r="F59" s="16"/>
      <c r="G59" s="16"/>
      <c r="H59" s="16"/>
      <c r="I59" s="16"/>
      <c r="J59" s="17" t="str">
        <f aca="false">IF(COUNT($F59:$H59)=0,"",SUM($F59:$H59))</f>
        <v/>
      </c>
      <c r="K59" s="14"/>
      <c r="L59" s="14"/>
      <c r="M59" s="14"/>
      <c r="N59" s="13" t="str">
        <f aca="false">IF(COUNTA($A59,$D59:$I59,$K59:$M59)=0,"",IF($A59="","Add Loan UID",IF(ISNA(MATCH($A59,'Loans (reference)'!$A$2:$A$500,0)),"UID not in Loans tab",IF($D59="","Add payment no.",IF(COUNTIFS($A$2:$A$300,$A59,$D$2:$D$300,$D59)&gt;1,"Duplicate payment no.",IF($E59="","Add payment date",IF(COUNT($F59:$H59)=0,"Add an amount","Ready")))))))</f>
        <v/>
      </c>
      <c r="O59" s="18"/>
      <c r="P59" s="19"/>
    </row>
    <row r="60" customFormat="false" ht="15" hidden="false" customHeight="false" outlineLevel="0" collapsed="false">
      <c r="A60" s="12"/>
      <c r="B60" s="13" t="str">
        <f aca="false">IF($A60="","",IFERROR(INDEX('Loans (reference)'!$B$2:$B$500,MATCH($A60,'Loans (reference)'!$A$2:$A$500,0)),"not found"))</f>
        <v/>
      </c>
      <c r="C60" s="13" t="str">
        <f aca="false">IF($A60="","",IFERROR(INDEX('Loans (reference)'!$K$2:$K$500,MATCH($A60,'Loans (reference)'!$A$2:$A$500,0)),""))</f>
        <v/>
      </c>
      <c r="D60" s="14"/>
      <c r="E60" s="15"/>
      <c r="F60" s="16"/>
      <c r="G60" s="16"/>
      <c r="H60" s="16"/>
      <c r="I60" s="16"/>
      <c r="J60" s="17" t="str">
        <f aca="false">IF(COUNT($F60:$H60)=0,"",SUM($F60:$H60))</f>
        <v/>
      </c>
      <c r="K60" s="14"/>
      <c r="L60" s="14"/>
      <c r="M60" s="14"/>
      <c r="N60" s="13" t="str">
        <f aca="false">IF(COUNTA($A60,$D60:$I60,$K60:$M60)=0,"",IF($A60="","Add Loan UID",IF(ISNA(MATCH($A60,'Loans (reference)'!$A$2:$A$500,0)),"UID not in Loans tab",IF($D60="","Add payment no.",IF(COUNTIFS($A$2:$A$300,$A60,$D$2:$D$300,$D60)&gt;1,"Duplicate payment no.",IF($E60="","Add payment date",IF(COUNT($F60:$H60)=0,"Add an amount","Ready")))))))</f>
        <v/>
      </c>
      <c r="O60" s="18"/>
      <c r="P60" s="19"/>
    </row>
    <row r="61" customFormat="false" ht="15" hidden="false" customHeight="false" outlineLevel="0" collapsed="false">
      <c r="A61" s="12"/>
      <c r="B61" s="13" t="str">
        <f aca="false">IF($A61="","",IFERROR(INDEX('Loans (reference)'!$B$2:$B$500,MATCH($A61,'Loans (reference)'!$A$2:$A$500,0)),"not found"))</f>
        <v/>
      </c>
      <c r="C61" s="13" t="str">
        <f aca="false">IF($A61="","",IFERROR(INDEX('Loans (reference)'!$K$2:$K$500,MATCH($A61,'Loans (reference)'!$A$2:$A$500,0)),""))</f>
        <v/>
      </c>
      <c r="D61" s="14"/>
      <c r="E61" s="15"/>
      <c r="F61" s="16"/>
      <c r="G61" s="16"/>
      <c r="H61" s="16"/>
      <c r="I61" s="16"/>
      <c r="J61" s="17" t="str">
        <f aca="false">IF(COUNT($F61:$H61)=0,"",SUM($F61:$H61))</f>
        <v/>
      </c>
      <c r="K61" s="14"/>
      <c r="L61" s="14"/>
      <c r="M61" s="14"/>
      <c r="N61" s="13" t="str">
        <f aca="false">IF(COUNTA($A61,$D61:$I61,$K61:$M61)=0,"",IF($A61="","Add Loan UID",IF(ISNA(MATCH($A61,'Loans (reference)'!$A$2:$A$500,0)),"UID not in Loans tab",IF($D61="","Add payment no.",IF(COUNTIFS($A$2:$A$300,$A61,$D$2:$D$300,$D61)&gt;1,"Duplicate payment no.",IF($E61="","Add payment date",IF(COUNT($F61:$H61)=0,"Add an amount","Ready")))))))</f>
        <v/>
      </c>
      <c r="O61" s="18"/>
      <c r="P61" s="19"/>
    </row>
    <row r="62" customFormat="false" ht="15" hidden="false" customHeight="false" outlineLevel="0" collapsed="false">
      <c r="A62" s="12"/>
      <c r="B62" s="13" t="str">
        <f aca="false">IF($A62="","",IFERROR(INDEX('Loans (reference)'!$B$2:$B$500,MATCH($A62,'Loans (reference)'!$A$2:$A$500,0)),"not found"))</f>
        <v/>
      </c>
      <c r="C62" s="13" t="str">
        <f aca="false">IF($A62="","",IFERROR(INDEX('Loans (reference)'!$K$2:$K$500,MATCH($A62,'Loans (reference)'!$A$2:$A$500,0)),""))</f>
        <v/>
      </c>
      <c r="D62" s="14"/>
      <c r="E62" s="15"/>
      <c r="F62" s="16"/>
      <c r="G62" s="16"/>
      <c r="H62" s="16"/>
      <c r="I62" s="16"/>
      <c r="J62" s="17" t="str">
        <f aca="false">IF(COUNT($F62:$H62)=0,"",SUM($F62:$H62))</f>
        <v/>
      </c>
      <c r="K62" s="14"/>
      <c r="L62" s="14"/>
      <c r="M62" s="14"/>
      <c r="N62" s="13" t="str">
        <f aca="false">IF(COUNTA($A62,$D62:$I62,$K62:$M62)=0,"",IF($A62="","Add Loan UID",IF(ISNA(MATCH($A62,'Loans (reference)'!$A$2:$A$500,0)),"UID not in Loans tab",IF($D62="","Add payment no.",IF(COUNTIFS($A$2:$A$300,$A62,$D$2:$D$300,$D62)&gt;1,"Duplicate payment no.",IF($E62="","Add payment date",IF(COUNT($F62:$H62)=0,"Add an amount","Ready")))))))</f>
        <v/>
      </c>
      <c r="O62" s="18"/>
      <c r="P62" s="19"/>
    </row>
    <row r="63" customFormat="false" ht="15" hidden="false" customHeight="false" outlineLevel="0" collapsed="false">
      <c r="A63" s="12"/>
      <c r="B63" s="13" t="str">
        <f aca="false">IF($A63="","",IFERROR(INDEX('Loans (reference)'!$B$2:$B$500,MATCH($A63,'Loans (reference)'!$A$2:$A$500,0)),"not found"))</f>
        <v/>
      </c>
      <c r="C63" s="13" t="str">
        <f aca="false">IF($A63="","",IFERROR(INDEX('Loans (reference)'!$K$2:$K$500,MATCH($A63,'Loans (reference)'!$A$2:$A$500,0)),""))</f>
        <v/>
      </c>
      <c r="D63" s="14"/>
      <c r="E63" s="15"/>
      <c r="F63" s="16"/>
      <c r="G63" s="16"/>
      <c r="H63" s="16"/>
      <c r="I63" s="16"/>
      <c r="J63" s="17" t="str">
        <f aca="false">IF(COUNT($F63:$H63)=0,"",SUM($F63:$H63))</f>
        <v/>
      </c>
      <c r="K63" s="14"/>
      <c r="L63" s="14"/>
      <c r="M63" s="14"/>
      <c r="N63" s="13" t="str">
        <f aca="false">IF(COUNTA($A63,$D63:$I63,$K63:$M63)=0,"",IF($A63="","Add Loan UID",IF(ISNA(MATCH($A63,'Loans (reference)'!$A$2:$A$500,0)),"UID not in Loans tab",IF($D63="","Add payment no.",IF(COUNTIFS($A$2:$A$300,$A63,$D$2:$D$300,$D63)&gt;1,"Duplicate payment no.",IF($E63="","Add payment date",IF(COUNT($F63:$H63)=0,"Add an amount","Ready")))))))</f>
        <v/>
      </c>
      <c r="O63" s="18"/>
      <c r="P63" s="19"/>
    </row>
    <row r="64" customFormat="false" ht="15" hidden="false" customHeight="false" outlineLevel="0" collapsed="false">
      <c r="A64" s="12"/>
      <c r="B64" s="13" t="str">
        <f aca="false">IF($A64="","",IFERROR(INDEX('Loans (reference)'!$B$2:$B$500,MATCH($A64,'Loans (reference)'!$A$2:$A$500,0)),"not found"))</f>
        <v/>
      </c>
      <c r="C64" s="13" t="str">
        <f aca="false">IF($A64="","",IFERROR(INDEX('Loans (reference)'!$K$2:$K$500,MATCH($A64,'Loans (reference)'!$A$2:$A$500,0)),""))</f>
        <v/>
      </c>
      <c r="D64" s="14"/>
      <c r="E64" s="15"/>
      <c r="F64" s="16"/>
      <c r="G64" s="16"/>
      <c r="H64" s="16"/>
      <c r="I64" s="16"/>
      <c r="J64" s="17" t="str">
        <f aca="false">IF(COUNT($F64:$H64)=0,"",SUM($F64:$H64))</f>
        <v/>
      </c>
      <c r="K64" s="14"/>
      <c r="L64" s="14"/>
      <c r="M64" s="14"/>
      <c r="N64" s="13" t="str">
        <f aca="false">IF(COUNTA($A64,$D64:$I64,$K64:$M64)=0,"",IF($A64="","Add Loan UID",IF(ISNA(MATCH($A64,'Loans (reference)'!$A$2:$A$500,0)),"UID not in Loans tab",IF($D64="","Add payment no.",IF(COUNTIFS($A$2:$A$300,$A64,$D$2:$D$300,$D64)&gt;1,"Duplicate payment no.",IF($E64="","Add payment date",IF(COUNT($F64:$H64)=0,"Add an amount","Ready")))))))</f>
        <v/>
      </c>
      <c r="O64" s="18"/>
      <c r="P64" s="19"/>
    </row>
    <row r="65" customFormat="false" ht="15" hidden="false" customHeight="false" outlineLevel="0" collapsed="false">
      <c r="A65" s="12"/>
      <c r="B65" s="13" t="str">
        <f aca="false">IF($A65="","",IFERROR(INDEX('Loans (reference)'!$B$2:$B$500,MATCH($A65,'Loans (reference)'!$A$2:$A$500,0)),"not found"))</f>
        <v/>
      </c>
      <c r="C65" s="13" t="str">
        <f aca="false">IF($A65="","",IFERROR(INDEX('Loans (reference)'!$K$2:$K$500,MATCH($A65,'Loans (reference)'!$A$2:$A$500,0)),""))</f>
        <v/>
      </c>
      <c r="D65" s="14"/>
      <c r="E65" s="15"/>
      <c r="F65" s="16"/>
      <c r="G65" s="16"/>
      <c r="H65" s="16"/>
      <c r="I65" s="16"/>
      <c r="J65" s="17" t="str">
        <f aca="false">IF(COUNT($F65:$H65)=0,"",SUM($F65:$H65))</f>
        <v/>
      </c>
      <c r="K65" s="14"/>
      <c r="L65" s="14"/>
      <c r="M65" s="14"/>
      <c r="N65" s="13" t="str">
        <f aca="false">IF(COUNTA($A65,$D65:$I65,$K65:$M65)=0,"",IF($A65="","Add Loan UID",IF(ISNA(MATCH($A65,'Loans (reference)'!$A$2:$A$500,0)),"UID not in Loans tab",IF($D65="","Add payment no.",IF(COUNTIFS($A$2:$A$300,$A65,$D$2:$D$300,$D65)&gt;1,"Duplicate payment no.",IF($E65="","Add payment date",IF(COUNT($F65:$H65)=0,"Add an amount","Ready")))))))</f>
        <v/>
      </c>
      <c r="O65" s="18"/>
      <c r="P65" s="19"/>
    </row>
    <row r="66" customFormat="false" ht="15" hidden="false" customHeight="false" outlineLevel="0" collapsed="false">
      <c r="A66" s="12"/>
      <c r="B66" s="13" t="str">
        <f aca="false">IF($A66="","",IFERROR(INDEX('Loans (reference)'!$B$2:$B$500,MATCH($A66,'Loans (reference)'!$A$2:$A$500,0)),"not found"))</f>
        <v/>
      </c>
      <c r="C66" s="13" t="str">
        <f aca="false">IF($A66="","",IFERROR(INDEX('Loans (reference)'!$K$2:$K$500,MATCH($A66,'Loans (reference)'!$A$2:$A$500,0)),""))</f>
        <v/>
      </c>
      <c r="D66" s="14"/>
      <c r="E66" s="15"/>
      <c r="F66" s="16"/>
      <c r="G66" s="16"/>
      <c r="H66" s="16"/>
      <c r="I66" s="16"/>
      <c r="J66" s="17" t="str">
        <f aca="false">IF(COUNT($F66:$H66)=0,"",SUM($F66:$H66))</f>
        <v/>
      </c>
      <c r="K66" s="14"/>
      <c r="L66" s="14"/>
      <c r="M66" s="14"/>
      <c r="N66" s="13" t="str">
        <f aca="false">IF(COUNTA($A66,$D66:$I66,$K66:$M66)=0,"",IF($A66="","Add Loan UID",IF(ISNA(MATCH($A66,'Loans (reference)'!$A$2:$A$500,0)),"UID not in Loans tab",IF($D66="","Add payment no.",IF(COUNTIFS($A$2:$A$300,$A66,$D$2:$D$300,$D66)&gt;1,"Duplicate payment no.",IF($E66="","Add payment date",IF(COUNT($F66:$H66)=0,"Add an amount","Ready")))))))</f>
        <v/>
      </c>
      <c r="O66" s="18"/>
      <c r="P66" s="19"/>
    </row>
    <row r="67" customFormat="false" ht="15" hidden="false" customHeight="false" outlineLevel="0" collapsed="false">
      <c r="A67" s="12"/>
      <c r="B67" s="13" t="str">
        <f aca="false">IF($A67="","",IFERROR(INDEX('Loans (reference)'!$B$2:$B$500,MATCH($A67,'Loans (reference)'!$A$2:$A$500,0)),"not found"))</f>
        <v/>
      </c>
      <c r="C67" s="13" t="str">
        <f aca="false">IF($A67="","",IFERROR(INDEX('Loans (reference)'!$K$2:$K$500,MATCH($A67,'Loans (reference)'!$A$2:$A$500,0)),""))</f>
        <v/>
      </c>
      <c r="D67" s="14"/>
      <c r="E67" s="15"/>
      <c r="F67" s="16"/>
      <c r="G67" s="16"/>
      <c r="H67" s="16"/>
      <c r="I67" s="16"/>
      <c r="J67" s="17" t="str">
        <f aca="false">IF(COUNT($F67:$H67)=0,"",SUM($F67:$H67))</f>
        <v/>
      </c>
      <c r="K67" s="14"/>
      <c r="L67" s="14"/>
      <c r="M67" s="14"/>
      <c r="N67" s="13" t="str">
        <f aca="false">IF(COUNTA($A67,$D67:$I67,$K67:$M67)=0,"",IF($A67="","Add Loan UID",IF(ISNA(MATCH($A67,'Loans (reference)'!$A$2:$A$500,0)),"UID not in Loans tab",IF($D67="","Add payment no.",IF(COUNTIFS($A$2:$A$300,$A67,$D$2:$D$300,$D67)&gt;1,"Duplicate payment no.",IF($E67="","Add payment date",IF(COUNT($F67:$H67)=0,"Add an amount","Ready")))))))</f>
        <v/>
      </c>
      <c r="O67" s="18"/>
      <c r="P67" s="19"/>
    </row>
    <row r="68" customFormat="false" ht="15" hidden="false" customHeight="false" outlineLevel="0" collapsed="false">
      <c r="A68" s="12"/>
      <c r="B68" s="13" t="str">
        <f aca="false">IF($A68="","",IFERROR(INDEX('Loans (reference)'!$B$2:$B$500,MATCH($A68,'Loans (reference)'!$A$2:$A$500,0)),"not found"))</f>
        <v/>
      </c>
      <c r="C68" s="13" t="str">
        <f aca="false">IF($A68="","",IFERROR(INDEX('Loans (reference)'!$K$2:$K$500,MATCH($A68,'Loans (reference)'!$A$2:$A$500,0)),""))</f>
        <v/>
      </c>
      <c r="D68" s="14"/>
      <c r="E68" s="15"/>
      <c r="F68" s="16"/>
      <c r="G68" s="16"/>
      <c r="H68" s="16"/>
      <c r="I68" s="16"/>
      <c r="J68" s="17" t="str">
        <f aca="false">IF(COUNT($F68:$H68)=0,"",SUM($F68:$H68))</f>
        <v/>
      </c>
      <c r="K68" s="14"/>
      <c r="L68" s="14"/>
      <c r="M68" s="14"/>
      <c r="N68" s="13" t="str">
        <f aca="false">IF(COUNTA($A68,$D68:$I68,$K68:$M68)=0,"",IF($A68="","Add Loan UID",IF(ISNA(MATCH($A68,'Loans (reference)'!$A$2:$A$500,0)),"UID not in Loans tab",IF($D68="","Add payment no.",IF(COUNTIFS($A$2:$A$300,$A68,$D$2:$D$300,$D68)&gt;1,"Duplicate payment no.",IF($E68="","Add payment date",IF(COUNT($F68:$H68)=0,"Add an amount","Ready")))))))</f>
        <v/>
      </c>
      <c r="O68" s="18"/>
      <c r="P68" s="19"/>
    </row>
    <row r="69" customFormat="false" ht="15" hidden="false" customHeight="false" outlineLevel="0" collapsed="false">
      <c r="A69" s="12"/>
      <c r="B69" s="13" t="str">
        <f aca="false">IF($A69="","",IFERROR(INDEX('Loans (reference)'!$B$2:$B$500,MATCH($A69,'Loans (reference)'!$A$2:$A$500,0)),"not found"))</f>
        <v/>
      </c>
      <c r="C69" s="13" t="str">
        <f aca="false">IF($A69="","",IFERROR(INDEX('Loans (reference)'!$K$2:$K$500,MATCH($A69,'Loans (reference)'!$A$2:$A$500,0)),""))</f>
        <v/>
      </c>
      <c r="D69" s="14"/>
      <c r="E69" s="15"/>
      <c r="F69" s="16"/>
      <c r="G69" s="16"/>
      <c r="H69" s="16"/>
      <c r="I69" s="16"/>
      <c r="J69" s="17" t="str">
        <f aca="false">IF(COUNT($F69:$H69)=0,"",SUM($F69:$H69))</f>
        <v/>
      </c>
      <c r="K69" s="14"/>
      <c r="L69" s="14"/>
      <c r="M69" s="14"/>
      <c r="N69" s="13" t="str">
        <f aca="false">IF(COUNTA($A69,$D69:$I69,$K69:$M69)=0,"",IF($A69="","Add Loan UID",IF(ISNA(MATCH($A69,'Loans (reference)'!$A$2:$A$500,0)),"UID not in Loans tab",IF($D69="","Add payment no.",IF(COUNTIFS($A$2:$A$300,$A69,$D$2:$D$300,$D69)&gt;1,"Duplicate payment no.",IF($E69="","Add payment date",IF(COUNT($F69:$H69)=0,"Add an amount","Ready")))))))</f>
        <v/>
      </c>
      <c r="O69" s="18"/>
      <c r="P69" s="19"/>
    </row>
    <row r="70" customFormat="false" ht="15" hidden="false" customHeight="false" outlineLevel="0" collapsed="false">
      <c r="A70" s="12"/>
      <c r="B70" s="13" t="str">
        <f aca="false">IF($A70="","",IFERROR(INDEX('Loans (reference)'!$B$2:$B$500,MATCH($A70,'Loans (reference)'!$A$2:$A$500,0)),"not found"))</f>
        <v/>
      </c>
      <c r="C70" s="13" t="str">
        <f aca="false">IF($A70="","",IFERROR(INDEX('Loans (reference)'!$K$2:$K$500,MATCH($A70,'Loans (reference)'!$A$2:$A$500,0)),""))</f>
        <v/>
      </c>
      <c r="D70" s="14"/>
      <c r="E70" s="15"/>
      <c r="F70" s="16"/>
      <c r="G70" s="16"/>
      <c r="H70" s="16"/>
      <c r="I70" s="16"/>
      <c r="J70" s="17" t="str">
        <f aca="false">IF(COUNT($F70:$H70)=0,"",SUM($F70:$H70))</f>
        <v/>
      </c>
      <c r="K70" s="14"/>
      <c r="L70" s="14"/>
      <c r="M70" s="14"/>
      <c r="N70" s="13" t="str">
        <f aca="false">IF(COUNTA($A70,$D70:$I70,$K70:$M70)=0,"",IF($A70="","Add Loan UID",IF(ISNA(MATCH($A70,'Loans (reference)'!$A$2:$A$500,0)),"UID not in Loans tab",IF($D70="","Add payment no.",IF(COUNTIFS($A$2:$A$300,$A70,$D$2:$D$300,$D70)&gt;1,"Duplicate payment no.",IF($E70="","Add payment date",IF(COUNT($F70:$H70)=0,"Add an amount","Ready")))))))</f>
        <v/>
      </c>
      <c r="O70" s="18"/>
      <c r="P70" s="19"/>
    </row>
    <row r="71" customFormat="false" ht="15" hidden="false" customHeight="false" outlineLevel="0" collapsed="false">
      <c r="A71" s="12"/>
      <c r="B71" s="13" t="str">
        <f aca="false">IF($A71="","",IFERROR(INDEX('Loans (reference)'!$B$2:$B$500,MATCH($A71,'Loans (reference)'!$A$2:$A$500,0)),"not found"))</f>
        <v/>
      </c>
      <c r="C71" s="13" t="str">
        <f aca="false">IF($A71="","",IFERROR(INDEX('Loans (reference)'!$K$2:$K$500,MATCH($A71,'Loans (reference)'!$A$2:$A$500,0)),""))</f>
        <v/>
      </c>
      <c r="D71" s="14"/>
      <c r="E71" s="15"/>
      <c r="F71" s="16"/>
      <c r="G71" s="16"/>
      <c r="H71" s="16"/>
      <c r="I71" s="16"/>
      <c r="J71" s="17" t="str">
        <f aca="false">IF(COUNT($F71:$H71)=0,"",SUM($F71:$H71))</f>
        <v/>
      </c>
      <c r="K71" s="14"/>
      <c r="L71" s="14"/>
      <c r="M71" s="14"/>
      <c r="N71" s="13" t="str">
        <f aca="false">IF(COUNTA($A71,$D71:$I71,$K71:$M71)=0,"",IF($A71="","Add Loan UID",IF(ISNA(MATCH($A71,'Loans (reference)'!$A$2:$A$500,0)),"UID not in Loans tab",IF($D71="","Add payment no.",IF(COUNTIFS($A$2:$A$300,$A71,$D$2:$D$300,$D71)&gt;1,"Duplicate payment no.",IF($E71="","Add payment date",IF(COUNT($F71:$H71)=0,"Add an amount","Ready")))))))</f>
        <v/>
      </c>
      <c r="O71" s="18"/>
      <c r="P71" s="19"/>
    </row>
    <row r="72" customFormat="false" ht="15" hidden="false" customHeight="false" outlineLevel="0" collapsed="false">
      <c r="A72" s="12"/>
      <c r="B72" s="13" t="str">
        <f aca="false">IF($A72="","",IFERROR(INDEX('Loans (reference)'!$B$2:$B$500,MATCH($A72,'Loans (reference)'!$A$2:$A$500,0)),"not found"))</f>
        <v/>
      </c>
      <c r="C72" s="13" t="str">
        <f aca="false">IF($A72="","",IFERROR(INDEX('Loans (reference)'!$K$2:$K$500,MATCH($A72,'Loans (reference)'!$A$2:$A$500,0)),""))</f>
        <v/>
      </c>
      <c r="D72" s="14"/>
      <c r="E72" s="15"/>
      <c r="F72" s="16"/>
      <c r="G72" s="16"/>
      <c r="H72" s="16"/>
      <c r="I72" s="16"/>
      <c r="J72" s="17" t="str">
        <f aca="false">IF(COUNT($F72:$H72)=0,"",SUM($F72:$H72))</f>
        <v/>
      </c>
      <c r="K72" s="14"/>
      <c r="L72" s="14"/>
      <c r="M72" s="14"/>
      <c r="N72" s="13" t="str">
        <f aca="false">IF(COUNTA($A72,$D72:$I72,$K72:$M72)=0,"",IF($A72="","Add Loan UID",IF(ISNA(MATCH($A72,'Loans (reference)'!$A$2:$A$500,0)),"UID not in Loans tab",IF($D72="","Add payment no.",IF(COUNTIFS($A$2:$A$300,$A72,$D$2:$D$300,$D72)&gt;1,"Duplicate payment no.",IF($E72="","Add payment date",IF(COUNT($F72:$H72)=0,"Add an amount","Ready")))))))</f>
        <v/>
      </c>
      <c r="O72" s="18"/>
      <c r="P72" s="19"/>
    </row>
    <row r="73" customFormat="false" ht="15" hidden="false" customHeight="false" outlineLevel="0" collapsed="false">
      <c r="A73" s="12"/>
      <c r="B73" s="13" t="str">
        <f aca="false">IF($A73="","",IFERROR(INDEX('Loans (reference)'!$B$2:$B$500,MATCH($A73,'Loans (reference)'!$A$2:$A$500,0)),"not found"))</f>
        <v/>
      </c>
      <c r="C73" s="13" t="str">
        <f aca="false">IF($A73="","",IFERROR(INDEX('Loans (reference)'!$K$2:$K$500,MATCH($A73,'Loans (reference)'!$A$2:$A$500,0)),""))</f>
        <v/>
      </c>
      <c r="D73" s="14"/>
      <c r="E73" s="15"/>
      <c r="F73" s="16"/>
      <c r="G73" s="16"/>
      <c r="H73" s="16"/>
      <c r="I73" s="16"/>
      <c r="J73" s="17" t="str">
        <f aca="false">IF(COUNT($F73:$H73)=0,"",SUM($F73:$H73))</f>
        <v/>
      </c>
      <c r="K73" s="14"/>
      <c r="L73" s="14"/>
      <c r="M73" s="14"/>
      <c r="N73" s="13" t="str">
        <f aca="false">IF(COUNTA($A73,$D73:$I73,$K73:$M73)=0,"",IF($A73="","Add Loan UID",IF(ISNA(MATCH($A73,'Loans (reference)'!$A$2:$A$500,0)),"UID not in Loans tab",IF($D73="","Add payment no.",IF(COUNTIFS($A$2:$A$300,$A73,$D$2:$D$300,$D73)&gt;1,"Duplicate payment no.",IF($E73="","Add payment date",IF(COUNT($F73:$H73)=0,"Add an amount","Ready")))))))</f>
        <v/>
      </c>
      <c r="O73" s="18"/>
      <c r="P73" s="19"/>
    </row>
    <row r="74" customFormat="false" ht="15" hidden="false" customHeight="false" outlineLevel="0" collapsed="false">
      <c r="A74" s="12"/>
      <c r="B74" s="13" t="str">
        <f aca="false">IF($A74="","",IFERROR(INDEX('Loans (reference)'!$B$2:$B$500,MATCH($A74,'Loans (reference)'!$A$2:$A$500,0)),"not found"))</f>
        <v/>
      </c>
      <c r="C74" s="13" t="str">
        <f aca="false">IF($A74="","",IFERROR(INDEX('Loans (reference)'!$K$2:$K$500,MATCH($A74,'Loans (reference)'!$A$2:$A$500,0)),""))</f>
        <v/>
      </c>
      <c r="D74" s="14"/>
      <c r="E74" s="15"/>
      <c r="F74" s="16"/>
      <c r="G74" s="16"/>
      <c r="H74" s="16"/>
      <c r="I74" s="16"/>
      <c r="J74" s="17" t="str">
        <f aca="false">IF(COUNT($F74:$H74)=0,"",SUM($F74:$H74))</f>
        <v/>
      </c>
      <c r="K74" s="14"/>
      <c r="L74" s="14"/>
      <c r="M74" s="14"/>
      <c r="N74" s="13" t="str">
        <f aca="false">IF(COUNTA($A74,$D74:$I74,$K74:$M74)=0,"",IF($A74="","Add Loan UID",IF(ISNA(MATCH($A74,'Loans (reference)'!$A$2:$A$500,0)),"UID not in Loans tab",IF($D74="","Add payment no.",IF(COUNTIFS($A$2:$A$300,$A74,$D$2:$D$300,$D74)&gt;1,"Duplicate payment no.",IF($E74="","Add payment date",IF(COUNT($F74:$H74)=0,"Add an amount","Ready")))))))</f>
        <v/>
      </c>
      <c r="O74" s="18"/>
      <c r="P74" s="19"/>
    </row>
    <row r="75" customFormat="false" ht="15" hidden="false" customHeight="false" outlineLevel="0" collapsed="false">
      <c r="A75" s="12"/>
      <c r="B75" s="13" t="str">
        <f aca="false">IF($A75="","",IFERROR(INDEX('Loans (reference)'!$B$2:$B$500,MATCH($A75,'Loans (reference)'!$A$2:$A$500,0)),"not found"))</f>
        <v/>
      </c>
      <c r="C75" s="13" t="str">
        <f aca="false">IF($A75="","",IFERROR(INDEX('Loans (reference)'!$K$2:$K$500,MATCH($A75,'Loans (reference)'!$A$2:$A$500,0)),""))</f>
        <v/>
      </c>
      <c r="D75" s="14"/>
      <c r="E75" s="15"/>
      <c r="F75" s="16"/>
      <c r="G75" s="16"/>
      <c r="H75" s="16"/>
      <c r="I75" s="16"/>
      <c r="J75" s="17" t="str">
        <f aca="false">IF(COUNT($F75:$H75)=0,"",SUM($F75:$H75))</f>
        <v/>
      </c>
      <c r="K75" s="14"/>
      <c r="L75" s="14"/>
      <c r="M75" s="14"/>
      <c r="N75" s="13" t="str">
        <f aca="false">IF(COUNTA($A75,$D75:$I75,$K75:$M75)=0,"",IF($A75="","Add Loan UID",IF(ISNA(MATCH($A75,'Loans (reference)'!$A$2:$A$500,0)),"UID not in Loans tab",IF($D75="","Add payment no.",IF(COUNTIFS($A$2:$A$300,$A75,$D$2:$D$300,$D75)&gt;1,"Duplicate payment no.",IF($E75="","Add payment date",IF(COUNT($F75:$H75)=0,"Add an amount","Ready")))))))</f>
        <v/>
      </c>
      <c r="O75" s="18"/>
      <c r="P75" s="19"/>
    </row>
    <row r="76" customFormat="false" ht="15" hidden="false" customHeight="false" outlineLevel="0" collapsed="false">
      <c r="A76" s="12"/>
      <c r="B76" s="13" t="str">
        <f aca="false">IF($A76="","",IFERROR(INDEX('Loans (reference)'!$B$2:$B$500,MATCH($A76,'Loans (reference)'!$A$2:$A$500,0)),"not found"))</f>
        <v/>
      </c>
      <c r="C76" s="13" t="str">
        <f aca="false">IF($A76="","",IFERROR(INDEX('Loans (reference)'!$K$2:$K$500,MATCH($A76,'Loans (reference)'!$A$2:$A$500,0)),""))</f>
        <v/>
      </c>
      <c r="D76" s="14"/>
      <c r="E76" s="15"/>
      <c r="F76" s="16"/>
      <c r="G76" s="16"/>
      <c r="H76" s="16"/>
      <c r="I76" s="16"/>
      <c r="J76" s="17" t="str">
        <f aca="false">IF(COUNT($F76:$H76)=0,"",SUM($F76:$H76))</f>
        <v/>
      </c>
      <c r="K76" s="14"/>
      <c r="L76" s="14"/>
      <c r="M76" s="14"/>
      <c r="N76" s="13" t="str">
        <f aca="false">IF(COUNTA($A76,$D76:$I76,$K76:$M76)=0,"",IF($A76="","Add Loan UID",IF(ISNA(MATCH($A76,'Loans (reference)'!$A$2:$A$500,0)),"UID not in Loans tab",IF($D76="","Add payment no.",IF(COUNTIFS($A$2:$A$300,$A76,$D$2:$D$300,$D76)&gt;1,"Duplicate payment no.",IF($E76="","Add payment date",IF(COUNT($F76:$H76)=0,"Add an amount","Ready")))))))</f>
        <v/>
      </c>
      <c r="O76" s="18"/>
      <c r="P76" s="19"/>
    </row>
    <row r="77" customFormat="false" ht="15" hidden="false" customHeight="false" outlineLevel="0" collapsed="false">
      <c r="A77" s="12"/>
      <c r="B77" s="13" t="str">
        <f aca="false">IF($A77="","",IFERROR(INDEX('Loans (reference)'!$B$2:$B$500,MATCH($A77,'Loans (reference)'!$A$2:$A$500,0)),"not found"))</f>
        <v/>
      </c>
      <c r="C77" s="13" t="str">
        <f aca="false">IF($A77="","",IFERROR(INDEX('Loans (reference)'!$K$2:$K$500,MATCH($A77,'Loans (reference)'!$A$2:$A$500,0)),""))</f>
        <v/>
      </c>
      <c r="D77" s="14"/>
      <c r="E77" s="15"/>
      <c r="F77" s="16"/>
      <c r="G77" s="16"/>
      <c r="H77" s="16"/>
      <c r="I77" s="16"/>
      <c r="J77" s="17" t="str">
        <f aca="false">IF(COUNT($F77:$H77)=0,"",SUM($F77:$H77))</f>
        <v/>
      </c>
      <c r="K77" s="14"/>
      <c r="L77" s="14"/>
      <c r="M77" s="14"/>
      <c r="N77" s="13" t="str">
        <f aca="false">IF(COUNTA($A77,$D77:$I77,$K77:$M77)=0,"",IF($A77="","Add Loan UID",IF(ISNA(MATCH($A77,'Loans (reference)'!$A$2:$A$500,0)),"UID not in Loans tab",IF($D77="","Add payment no.",IF(COUNTIFS($A$2:$A$300,$A77,$D$2:$D$300,$D77)&gt;1,"Duplicate payment no.",IF($E77="","Add payment date",IF(COUNT($F77:$H77)=0,"Add an amount","Ready")))))))</f>
        <v/>
      </c>
      <c r="O77" s="18"/>
      <c r="P77" s="19"/>
    </row>
    <row r="78" customFormat="false" ht="15" hidden="false" customHeight="false" outlineLevel="0" collapsed="false">
      <c r="A78" s="12"/>
      <c r="B78" s="13" t="str">
        <f aca="false">IF($A78="","",IFERROR(INDEX('Loans (reference)'!$B$2:$B$500,MATCH($A78,'Loans (reference)'!$A$2:$A$500,0)),"not found"))</f>
        <v/>
      </c>
      <c r="C78" s="13" t="str">
        <f aca="false">IF($A78="","",IFERROR(INDEX('Loans (reference)'!$K$2:$K$500,MATCH($A78,'Loans (reference)'!$A$2:$A$500,0)),""))</f>
        <v/>
      </c>
      <c r="D78" s="14"/>
      <c r="E78" s="15"/>
      <c r="F78" s="16"/>
      <c r="G78" s="16"/>
      <c r="H78" s="16"/>
      <c r="I78" s="16"/>
      <c r="J78" s="17" t="str">
        <f aca="false">IF(COUNT($F78:$H78)=0,"",SUM($F78:$H78))</f>
        <v/>
      </c>
      <c r="K78" s="14"/>
      <c r="L78" s="14"/>
      <c r="M78" s="14"/>
      <c r="N78" s="13" t="str">
        <f aca="false">IF(COUNTA($A78,$D78:$I78,$K78:$M78)=0,"",IF($A78="","Add Loan UID",IF(ISNA(MATCH($A78,'Loans (reference)'!$A$2:$A$500,0)),"UID not in Loans tab",IF($D78="","Add payment no.",IF(COUNTIFS($A$2:$A$300,$A78,$D$2:$D$300,$D78)&gt;1,"Duplicate payment no.",IF($E78="","Add payment date",IF(COUNT($F78:$H78)=0,"Add an amount","Ready")))))))</f>
        <v/>
      </c>
      <c r="O78" s="18"/>
      <c r="P78" s="19"/>
    </row>
    <row r="79" customFormat="false" ht="15" hidden="false" customHeight="false" outlineLevel="0" collapsed="false">
      <c r="A79" s="12"/>
      <c r="B79" s="13" t="str">
        <f aca="false">IF($A79="","",IFERROR(INDEX('Loans (reference)'!$B$2:$B$500,MATCH($A79,'Loans (reference)'!$A$2:$A$500,0)),"not found"))</f>
        <v/>
      </c>
      <c r="C79" s="13" t="str">
        <f aca="false">IF($A79="","",IFERROR(INDEX('Loans (reference)'!$K$2:$K$500,MATCH($A79,'Loans (reference)'!$A$2:$A$500,0)),""))</f>
        <v/>
      </c>
      <c r="D79" s="14"/>
      <c r="E79" s="15"/>
      <c r="F79" s="16"/>
      <c r="G79" s="16"/>
      <c r="H79" s="16"/>
      <c r="I79" s="16"/>
      <c r="J79" s="17" t="str">
        <f aca="false">IF(COUNT($F79:$H79)=0,"",SUM($F79:$H79))</f>
        <v/>
      </c>
      <c r="K79" s="14"/>
      <c r="L79" s="14"/>
      <c r="M79" s="14"/>
      <c r="N79" s="13" t="str">
        <f aca="false">IF(COUNTA($A79,$D79:$I79,$K79:$M79)=0,"",IF($A79="","Add Loan UID",IF(ISNA(MATCH($A79,'Loans (reference)'!$A$2:$A$500,0)),"UID not in Loans tab",IF($D79="","Add payment no.",IF(COUNTIFS($A$2:$A$300,$A79,$D$2:$D$300,$D79)&gt;1,"Duplicate payment no.",IF($E79="","Add payment date",IF(COUNT($F79:$H79)=0,"Add an amount","Ready")))))))</f>
        <v/>
      </c>
      <c r="O79" s="18"/>
      <c r="P79" s="19"/>
    </row>
    <row r="80" customFormat="false" ht="15" hidden="false" customHeight="false" outlineLevel="0" collapsed="false">
      <c r="A80" s="12"/>
      <c r="B80" s="13" t="str">
        <f aca="false">IF($A80="","",IFERROR(INDEX('Loans (reference)'!$B$2:$B$500,MATCH($A80,'Loans (reference)'!$A$2:$A$500,0)),"not found"))</f>
        <v/>
      </c>
      <c r="C80" s="13" t="str">
        <f aca="false">IF($A80="","",IFERROR(INDEX('Loans (reference)'!$K$2:$K$500,MATCH($A80,'Loans (reference)'!$A$2:$A$500,0)),""))</f>
        <v/>
      </c>
      <c r="D80" s="14"/>
      <c r="E80" s="15"/>
      <c r="F80" s="16"/>
      <c r="G80" s="16"/>
      <c r="H80" s="16"/>
      <c r="I80" s="16"/>
      <c r="J80" s="17" t="str">
        <f aca="false">IF(COUNT($F80:$H80)=0,"",SUM($F80:$H80))</f>
        <v/>
      </c>
      <c r="K80" s="14"/>
      <c r="L80" s="14"/>
      <c r="M80" s="14"/>
      <c r="N80" s="13" t="str">
        <f aca="false">IF(COUNTA($A80,$D80:$I80,$K80:$M80)=0,"",IF($A80="","Add Loan UID",IF(ISNA(MATCH($A80,'Loans (reference)'!$A$2:$A$500,0)),"UID not in Loans tab",IF($D80="","Add payment no.",IF(COUNTIFS($A$2:$A$300,$A80,$D$2:$D$300,$D80)&gt;1,"Duplicate payment no.",IF($E80="","Add payment date",IF(COUNT($F80:$H80)=0,"Add an amount","Ready")))))))</f>
        <v/>
      </c>
      <c r="O80" s="18"/>
      <c r="P80" s="19"/>
    </row>
    <row r="81" customFormat="false" ht="15" hidden="false" customHeight="false" outlineLevel="0" collapsed="false">
      <c r="A81" s="12"/>
      <c r="B81" s="13" t="str">
        <f aca="false">IF($A81="","",IFERROR(INDEX('Loans (reference)'!$B$2:$B$500,MATCH($A81,'Loans (reference)'!$A$2:$A$500,0)),"not found"))</f>
        <v/>
      </c>
      <c r="C81" s="13" t="str">
        <f aca="false">IF($A81="","",IFERROR(INDEX('Loans (reference)'!$K$2:$K$500,MATCH($A81,'Loans (reference)'!$A$2:$A$500,0)),""))</f>
        <v/>
      </c>
      <c r="D81" s="14"/>
      <c r="E81" s="15"/>
      <c r="F81" s="16"/>
      <c r="G81" s="16"/>
      <c r="H81" s="16"/>
      <c r="I81" s="16"/>
      <c r="J81" s="17" t="str">
        <f aca="false">IF(COUNT($F81:$H81)=0,"",SUM($F81:$H81))</f>
        <v/>
      </c>
      <c r="K81" s="14"/>
      <c r="L81" s="14"/>
      <c r="M81" s="14"/>
      <c r="N81" s="13" t="str">
        <f aca="false">IF(COUNTA($A81,$D81:$I81,$K81:$M81)=0,"",IF($A81="","Add Loan UID",IF(ISNA(MATCH($A81,'Loans (reference)'!$A$2:$A$500,0)),"UID not in Loans tab",IF($D81="","Add payment no.",IF(COUNTIFS($A$2:$A$300,$A81,$D$2:$D$300,$D81)&gt;1,"Duplicate payment no.",IF($E81="","Add payment date",IF(COUNT($F81:$H81)=0,"Add an amount","Ready")))))))</f>
        <v/>
      </c>
      <c r="O81" s="18"/>
      <c r="P81" s="19"/>
    </row>
    <row r="82" customFormat="false" ht="15" hidden="false" customHeight="false" outlineLevel="0" collapsed="false">
      <c r="A82" s="12"/>
      <c r="B82" s="13" t="str">
        <f aca="false">IF($A82="","",IFERROR(INDEX('Loans (reference)'!$B$2:$B$500,MATCH($A82,'Loans (reference)'!$A$2:$A$500,0)),"not found"))</f>
        <v/>
      </c>
      <c r="C82" s="13" t="str">
        <f aca="false">IF($A82="","",IFERROR(INDEX('Loans (reference)'!$K$2:$K$500,MATCH($A82,'Loans (reference)'!$A$2:$A$500,0)),""))</f>
        <v/>
      </c>
      <c r="D82" s="14"/>
      <c r="E82" s="15"/>
      <c r="F82" s="16"/>
      <c r="G82" s="16"/>
      <c r="H82" s="16"/>
      <c r="I82" s="16"/>
      <c r="J82" s="17" t="str">
        <f aca="false">IF(COUNT($F82:$H82)=0,"",SUM($F82:$H82))</f>
        <v/>
      </c>
      <c r="K82" s="14"/>
      <c r="L82" s="14"/>
      <c r="M82" s="14"/>
      <c r="N82" s="13" t="str">
        <f aca="false">IF(COUNTA($A82,$D82:$I82,$K82:$M82)=0,"",IF($A82="","Add Loan UID",IF(ISNA(MATCH($A82,'Loans (reference)'!$A$2:$A$500,0)),"UID not in Loans tab",IF($D82="","Add payment no.",IF(COUNTIFS($A$2:$A$300,$A82,$D$2:$D$300,$D82)&gt;1,"Duplicate payment no.",IF($E82="","Add payment date",IF(COUNT($F82:$H82)=0,"Add an amount","Ready")))))))</f>
        <v/>
      </c>
      <c r="O82" s="18"/>
      <c r="P82" s="19"/>
    </row>
    <row r="83" customFormat="false" ht="15" hidden="false" customHeight="false" outlineLevel="0" collapsed="false">
      <c r="A83" s="12"/>
      <c r="B83" s="13" t="str">
        <f aca="false">IF($A83="","",IFERROR(INDEX('Loans (reference)'!$B$2:$B$500,MATCH($A83,'Loans (reference)'!$A$2:$A$500,0)),"not found"))</f>
        <v/>
      </c>
      <c r="C83" s="13" t="str">
        <f aca="false">IF($A83="","",IFERROR(INDEX('Loans (reference)'!$K$2:$K$500,MATCH($A83,'Loans (reference)'!$A$2:$A$500,0)),""))</f>
        <v/>
      </c>
      <c r="D83" s="14"/>
      <c r="E83" s="15"/>
      <c r="F83" s="16"/>
      <c r="G83" s="16"/>
      <c r="H83" s="16"/>
      <c r="I83" s="16"/>
      <c r="J83" s="17" t="str">
        <f aca="false">IF(COUNT($F83:$H83)=0,"",SUM($F83:$H83))</f>
        <v/>
      </c>
      <c r="K83" s="14"/>
      <c r="L83" s="14"/>
      <c r="M83" s="14"/>
      <c r="N83" s="13" t="str">
        <f aca="false">IF(COUNTA($A83,$D83:$I83,$K83:$M83)=0,"",IF($A83="","Add Loan UID",IF(ISNA(MATCH($A83,'Loans (reference)'!$A$2:$A$500,0)),"UID not in Loans tab",IF($D83="","Add payment no.",IF(COUNTIFS($A$2:$A$300,$A83,$D$2:$D$300,$D83)&gt;1,"Duplicate payment no.",IF($E83="","Add payment date",IF(COUNT($F83:$H83)=0,"Add an amount","Ready")))))))</f>
        <v/>
      </c>
      <c r="O83" s="18"/>
      <c r="P83" s="19"/>
    </row>
    <row r="84" customFormat="false" ht="15" hidden="false" customHeight="false" outlineLevel="0" collapsed="false">
      <c r="A84" s="12"/>
      <c r="B84" s="13" t="str">
        <f aca="false">IF($A84="","",IFERROR(INDEX('Loans (reference)'!$B$2:$B$500,MATCH($A84,'Loans (reference)'!$A$2:$A$500,0)),"not found"))</f>
        <v/>
      </c>
      <c r="C84" s="13" t="str">
        <f aca="false">IF($A84="","",IFERROR(INDEX('Loans (reference)'!$K$2:$K$500,MATCH($A84,'Loans (reference)'!$A$2:$A$500,0)),""))</f>
        <v/>
      </c>
      <c r="D84" s="14"/>
      <c r="E84" s="15"/>
      <c r="F84" s="16"/>
      <c r="G84" s="16"/>
      <c r="H84" s="16"/>
      <c r="I84" s="16"/>
      <c r="J84" s="17" t="str">
        <f aca="false">IF(COUNT($F84:$H84)=0,"",SUM($F84:$H84))</f>
        <v/>
      </c>
      <c r="K84" s="14"/>
      <c r="L84" s="14"/>
      <c r="M84" s="14"/>
      <c r="N84" s="13" t="str">
        <f aca="false">IF(COUNTA($A84,$D84:$I84,$K84:$M84)=0,"",IF($A84="","Add Loan UID",IF(ISNA(MATCH($A84,'Loans (reference)'!$A$2:$A$500,0)),"UID not in Loans tab",IF($D84="","Add payment no.",IF(COUNTIFS($A$2:$A$300,$A84,$D$2:$D$300,$D84)&gt;1,"Duplicate payment no.",IF($E84="","Add payment date",IF(COUNT($F84:$H84)=0,"Add an amount","Ready")))))))</f>
        <v/>
      </c>
      <c r="O84" s="18"/>
      <c r="P84" s="19"/>
    </row>
    <row r="85" customFormat="false" ht="15" hidden="false" customHeight="false" outlineLevel="0" collapsed="false">
      <c r="A85" s="12"/>
      <c r="B85" s="13" t="str">
        <f aca="false">IF($A85="","",IFERROR(INDEX('Loans (reference)'!$B$2:$B$500,MATCH($A85,'Loans (reference)'!$A$2:$A$500,0)),"not found"))</f>
        <v/>
      </c>
      <c r="C85" s="13" t="str">
        <f aca="false">IF($A85="","",IFERROR(INDEX('Loans (reference)'!$K$2:$K$500,MATCH($A85,'Loans (reference)'!$A$2:$A$500,0)),""))</f>
        <v/>
      </c>
      <c r="D85" s="14"/>
      <c r="E85" s="15"/>
      <c r="F85" s="16"/>
      <c r="G85" s="16"/>
      <c r="H85" s="16"/>
      <c r="I85" s="16"/>
      <c r="J85" s="17" t="str">
        <f aca="false">IF(COUNT($F85:$H85)=0,"",SUM($F85:$H85))</f>
        <v/>
      </c>
      <c r="K85" s="14"/>
      <c r="L85" s="14"/>
      <c r="M85" s="14"/>
      <c r="N85" s="13" t="str">
        <f aca="false">IF(COUNTA($A85,$D85:$I85,$K85:$M85)=0,"",IF($A85="","Add Loan UID",IF(ISNA(MATCH($A85,'Loans (reference)'!$A$2:$A$500,0)),"UID not in Loans tab",IF($D85="","Add payment no.",IF(COUNTIFS($A$2:$A$300,$A85,$D$2:$D$300,$D85)&gt;1,"Duplicate payment no.",IF($E85="","Add payment date",IF(COUNT($F85:$H85)=0,"Add an amount","Ready")))))))</f>
        <v/>
      </c>
      <c r="O85" s="18"/>
      <c r="P85" s="19"/>
    </row>
    <row r="86" customFormat="false" ht="15" hidden="false" customHeight="false" outlineLevel="0" collapsed="false">
      <c r="A86" s="12"/>
      <c r="B86" s="13" t="str">
        <f aca="false">IF($A86="","",IFERROR(INDEX('Loans (reference)'!$B$2:$B$500,MATCH($A86,'Loans (reference)'!$A$2:$A$500,0)),"not found"))</f>
        <v/>
      </c>
      <c r="C86" s="13" t="str">
        <f aca="false">IF($A86="","",IFERROR(INDEX('Loans (reference)'!$K$2:$K$500,MATCH($A86,'Loans (reference)'!$A$2:$A$500,0)),""))</f>
        <v/>
      </c>
      <c r="D86" s="14"/>
      <c r="E86" s="15"/>
      <c r="F86" s="16"/>
      <c r="G86" s="16"/>
      <c r="H86" s="16"/>
      <c r="I86" s="16"/>
      <c r="J86" s="17" t="str">
        <f aca="false">IF(COUNT($F86:$H86)=0,"",SUM($F86:$H86))</f>
        <v/>
      </c>
      <c r="K86" s="14"/>
      <c r="L86" s="14"/>
      <c r="M86" s="14"/>
      <c r="N86" s="13" t="str">
        <f aca="false">IF(COUNTA($A86,$D86:$I86,$K86:$M86)=0,"",IF($A86="","Add Loan UID",IF(ISNA(MATCH($A86,'Loans (reference)'!$A$2:$A$500,0)),"UID not in Loans tab",IF($D86="","Add payment no.",IF(COUNTIFS($A$2:$A$300,$A86,$D$2:$D$300,$D86)&gt;1,"Duplicate payment no.",IF($E86="","Add payment date",IF(COUNT($F86:$H86)=0,"Add an amount","Ready")))))))</f>
        <v/>
      </c>
      <c r="O86" s="18"/>
      <c r="P86" s="19"/>
    </row>
    <row r="87" customFormat="false" ht="15" hidden="false" customHeight="false" outlineLevel="0" collapsed="false">
      <c r="A87" s="12"/>
      <c r="B87" s="13" t="str">
        <f aca="false">IF($A87="","",IFERROR(INDEX('Loans (reference)'!$B$2:$B$500,MATCH($A87,'Loans (reference)'!$A$2:$A$500,0)),"not found"))</f>
        <v/>
      </c>
      <c r="C87" s="13" t="str">
        <f aca="false">IF($A87="","",IFERROR(INDEX('Loans (reference)'!$K$2:$K$500,MATCH($A87,'Loans (reference)'!$A$2:$A$500,0)),""))</f>
        <v/>
      </c>
      <c r="D87" s="14"/>
      <c r="E87" s="15"/>
      <c r="F87" s="16"/>
      <c r="G87" s="16"/>
      <c r="H87" s="16"/>
      <c r="I87" s="16"/>
      <c r="J87" s="17" t="str">
        <f aca="false">IF(COUNT($F87:$H87)=0,"",SUM($F87:$H87))</f>
        <v/>
      </c>
      <c r="K87" s="14"/>
      <c r="L87" s="14"/>
      <c r="M87" s="14"/>
      <c r="N87" s="13" t="str">
        <f aca="false">IF(COUNTA($A87,$D87:$I87,$K87:$M87)=0,"",IF($A87="","Add Loan UID",IF(ISNA(MATCH($A87,'Loans (reference)'!$A$2:$A$500,0)),"UID not in Loans tab",IF($D87="","Add payment no.",IF(COUNTIFS($A$2:$A$300,$A87,$D$2:$D$300,$D87)&gt;1,"Duplicate payment no.",IF($E87="","Add payment date",IF(COUNT($F87:$H87)=0,"Add an amount","Ready")))))))</f>
        <v/>
      </c>
      <c r="O87" s="18"/>
      <c r="P87" s="19"/>
    </row>
    <row r="88" customFormat="false" ht="15" hidden="false" customHeight="false" outlineLevel="0" collapsed="false">
      <c r="A88" s="12"/>
      <c r="B88" s="13" t="str">
        <f aca="false">IF($A88="","",IFERROR(INDEX('Loans (reference)'!$B$2:$B$500,MATCH($A88,'Loans (reference)'!$A$2:$A$500,0)),"not found"))</f>
        <v/>
      </c>
      <c r="C88" s="13" t="str">
        <f aca="false">IF($A88="","",IFERROR(INDEX('Loans (reference)'!$K$2:$K$500,MATCH($A88,'Loans (reference)'!$A$2:$A$500,0)),""))</f>
        <v/>
      </c>
      <c r="D88" s="14"/>
      <c r="E88" s="15"/>
      <c r="F88" s="16"/>
      <c r="G88" s="16"/>
      <c r="H88" s="16"/>
      <c r="I88" s="16"/>
      <c r="J88" s="17" t="str">
        <f aca="false">IF(COUNT($F88:$H88)=0,"",SUM($F88:$H88))</f>
        <v/>
      </c>
      <c r="K88" s="14"/>
      <c r="L88" s="14"/>
      <c r="M88" s="14"/>
      <c r="N88" s="13" t="str">
        <f aca="false">IF(COUNTA($A88,$D88:$I88,$K88:$M88)=0,"",IF($A88="","Add Loan UID",IF(ISNA(MATCH($A88,'Loans (reference)'!$A$2:$A$500,0)),"UID not in Loans tab",IF($D88="","Add payment no.",IF(COUNTIFS($A$2:$A$300,$A88,$D$2:$D$300,$D88)&gt;1,"Duplicate payment no.",IF($E88="","Add payment date",IF(COUNT($F88:$H88)=0,"Add an amount","Ready")))))))</f>
        <v/>
      </c>
      <c r="O88" s="18"/>
      <c r="P88" s="19"/>
    </row>
    <row r="89" customFormat="false" ht="15" hidden="false" customHeight="false" outlineLevel="0" collapsed="false">
      <c r="A89" s="12"/>
      <c r="B89" s="13" t="str">
        <f aca="false">IF($A89="","",IFERROR(INDEX('Loans (reference)'!$B$2:$B$500,MATCH($A89,'Loans (reference)'!$A$2:$A$500,0)),"not found"))</f>
        <v/>
      </c>
      <c r="C89" s="13" t="str">
        <f aca="false">IF($A89="","",IFERROR(INDEX('Loans (reference)'!$K$2:$K$500,MATCH($A89,'Loans (reference)'!$A$2:$A$500,0)),""))</f>
        <v/>
      </c>
      <c r="D89" s="14"/>
      <c r="E89" s="15"/>
      <c r="F89" s="16"/>
      <c r="G89" s="16"/>
      <c r="H89" s="16"/>
      <c r="I89" s="16"/>
      <c r="J89" s="17" t="str">
        <f aca="false">IF(COUNT($F89:$H89)=0,"",SUM($F89:$H89))</f>
        <v/>
      </c>
      <c r="K89" s="14"/>
      <c r="L89" s="14"/>
      <c r="M89" s="14"/>
      <c r="N89" s="13" t="str">
        <f aca="false">IF(COUNTA($A89,$D89:$I89,$K89:$M89)=0,"",IF($A89="","Add Loan UID",IF(ISNA(MATCH($A89,'Loans (reference)'!$A$2:$A$500,0)),"UID not in Loans tab",IF($D89="","Add payment no.",IF(COUNTIFS($A$2:$A$300,$A89,$D$2:$D$300,$D89)&gt;1,"Duplicate payment no.",IF($E89="","Add payment date",IF(COUNT($F89:$H89)=0,"Add an amount","Ready")))))))</f>
        <v/>
      </c>
      <c r="O89" s="18"/>
      <c r="P89" s="19"/>
    </row>
    <row r="90" customFormat="false" ht="15" hidden="false" customHeight="false" outlineLevel="0" collapsed="false">
      <c r="A90" s="12"/>
      <c r="B90" s="13" t="str">
        <f aca="false">IF($A90="","",IFERROR(INDEX('Loans (reference)'!$B$2:$B$500,MATCH($A90,'Loans (reference)'!$A$2:$A$500,0)),"not found"))</f>
        <v/>
      </c>
      <c r="C90" s="13" t="str">
        <f aca="false">IF($A90="","",IFERROR(INDEX('Loans (reference)'!$K$2:$K$500,MATCH($A90,'Loans (reference)'!$A$2:$A$500,0)),""))</f>
        <v/>
      </c>
      <c r="D90" s="14"/>
      <c r="E90" s="15"/>
      <c r="F90" s="16"/>
      <c r="G90" s="16"/>
      <c r="H90" s="16"/>
      <c r="I90" s="16"/>
      <c r="J90" s="17" t="str">
        <f aca="false">IF(COUNT($F90:$H90)=0,"",SUM($F90:$H90))</f>
        <v/>
      </c>
      <c r="K90" s="14"/>
      <c r="L90" s="14"/>
      <c r="M90" s="14"/>
      <c r="N90" s="13" t="str">
        <f aca="false">IF(COUNTA($A90,$D90:$I90,$K90:$M90)=0,"",IF($A90="","Add Loan UID",IF(ISNA(MATCH($A90,'Loans (reference)'!$A$2:$A$500,0)),"UID not in Loans tab",IF($D90="","Add payment no.",IF(COUNTIFS($A$2:$A$300,$A90,$D$2:$D$300,$D90)&gt;1,"Duplicate payment no.",IF($E90="","Add payment date",IF(COUNT($F90:$H90)=0,"Add an amount","Ready")))))))</f>
        <v/>
      </c>
      <c r="O90" s="18"/>
      <c r="P90" s="19"/>
    </row>
    <row r="91" customFormat="false" ht="15" hidden="false" customHeight="false" outlineLevel="0" collapsed="false">
      <c r="A91" s="12"/>
      <c r="B91" s="13" t="str">
        <f aca="false">IF($A91="","",IFERROR(INDEX('Loans (reference)'!$B$2:$B$500,MATCH($A91,'Loans (reference)'!$A$2:$A$500,0)),"not found"))</f>
        <v/>
      </c>
      <c r="C91" s="13" t="str">
        <f aca="false">IF($A91="","",IFERROR(INDEX('Loans (reference)'!$K$2:$K$500,MATCH($A91,'Loans (reference)'!$A$2:$A$500,0)),""))</f>
        <v/>
      </c>
      <c r="D91" s="14"/>
      <c r="E91" s="15"/>
      <c r="F91" s="16"/>
      <c r="G91" s="16"/>
      <c r="H91" s="16"/>
      <c r="I91" s="16"/>
      <c r="J91" s="17" t="str">
        <f aca="false">IF(COUNT($F91:$H91)=0,"",SUM($F91:$H91))</f>
        <v/>
      </c>
      <c r="K91" s="14"/>
      <c r="L91" s="14"/>
      <c r="M91" s="14"/>
      <c r="N91" s="13" t="str">
        <f aca="false">IF(COUNTA($A91,$D91:$I91,$K91:$M91)=0,"",IF($A91="","Add Loan UID",IF(ISNA(MATCH($A91,'Loans (reference)'!$A$2:$A$500,0)),"UID not in Loans tab",IF($D91="","Add payment no.",IF(COUNTIFS($A$2:$A$300,$A91,$D$2:$D$300,$D91)&gt;1,"Duplicate payment no.",IF($E91="","Add payment date",IF(COUNT($F91:$H91)=0,"Add an amount","Ready")))))))</f>
        <v/>
      </c>
      <c r="O91" s="18"/>
      <c r="P91" s="19"/>
    </row>
    <row r="92" customFormat="false" ht="15" hidden="false" customHeight="false" outlineLevel="0" collapsed="false">
      <c r="A92" s="12"/>
      <c r="B92" s="13" t="str">
        <f aca="false">IF($A92="","",IFERROR(INDEX('Loans (reference)'!$B$2:$B$500,MATCH($A92,'Loans (reference)'!$A$2:$A$500,0)),"not found"))</f>
        <v/>
      </c>
      <c r="C92" s="13" t="str">
        <f aca="false">IF($A92="","",IFERROR(INDEX('Loans (reference)'!$K$2:$K$500,MATCH($A92,'Loans (reference)'!$A$2:$A$500,0)),""))</f>
        <v/>
      </c>
      <c r="D92" s="14"/>
      <c r="E92" s="15"/>
      <c r="F92" s="16"/>
      <c r="G92" s="16"/>
      <c r="H92" s="16"/>
      <c r="I92" s="16"/>
      <c r="J92" s="17" t="str">
        <f aca="false">IF(COUNT($F92:$H92)=0,"",SUM($F92:$H92))</f>
        <v/>
      </c>
      <c r="K92" s="14"/>
      <c r="L92" s="14"/>
      <c r="M92" s="14"/>
      <c r="N92" s="13" t="str">
        <f aca="false">IF(COUNTA($A92,$D92:$I92,$K92:$M92)=0,"",IF($A92="","Add Loan UID",IF(ISNA(MATCH($A92,'Loans (reference)'!$A$2:$A$500,0)),"UID not in Loans tab",IF($D92="","Add payment no.",IF(COUNTIFS($A$2:$A$300,$A92,$D$2:$D$300,$D92)&gt;1,"Duplicate payment no.",IF($E92="","Add payment date",IF(COUNT($F92:$H92)=0,"Add an amount","Ready")))))))</f>
        <v/>
      </c>
      <c r="O92" s="18"/>
      <c r="P92" s="19"/>
    </row>
    <row r="93" customFormat="false" ht="15" hidden="false" customHeight="false" outlineLevel="0" collapsed="false">
      <c r="A93" s="12"/>
      <c r="B93" s="13" t="str">
        <f aca="false">IF($A93="","",IFERROR(INDEX('Loans (reference)'!$B$2:$B$500,MATCH($A93,'Loans (reference)'!$A$2:$A$500,0)),"not found"))</f>
        <v/>
      </c>
      <c r="C93" s="13" t="str">
        <f aca="false">IF($A93="","",IFERROR(INDEX('Loans (reference)'!$K$2:$K$500,MATCH($A93,'Loans (reference)'!$A$2:$A$500,0)),""))</f>
        <v/>
      </c>
      <c r="D93" s="14"/>
      <c r="E93" s="15"/>
      <c r="F93" s="16"/>
      <c r="G93" s="16"/>
      <c r="H93" s="16"/>
      <c r="I93" s="16"/>
      <c r="J93" s="17" t="str">
        <f aca="false">IF(COUNT($F93:$H93)=0,"",SUM($F93:$H93))</f>
        <v/>
      </c>
      <c r="K93" s="14"/>
      <c r="L93" s="14"/>
      <c r="M93" s="14"/>
      <c r="N93" s="13" t="str">
        <f aca="false">IF(COUNTA($A93,$D93:$I93,$K93:$M93)=0,"",IF($A93="","Add Loan UID",IF(ISNA(MATCH($A93,'Loans (reference)'!$A$2:$A$500,0)),"UID not in Loans tab",IF($D93="","Add payment no.",IF(COUNTIFS($A$2:$A$300,$A93,$D$2:$D$300,$D93)&gt;1,"Duplicate payment no.",IF($E93="","Add payment date",IF(COUNT($F93:$H93)=0,"Add an amount","Ready")))))))</f>
        <v/>
      </c>
      <c r="O93" s="18"/>
      <c r="P93" s="19"/>
    </row>
    <row r="94" customFormat="false" ht="15" hidden="false" customHeight="false" outlineLevel="0" collapsed="false">
      <c r="A94" s="12"/>
      <c r="B94" s="13" t="str">
        <f aca="false">IF($A94="","",IFERROR(INDEX('Loans (reference)'!$B$2:$B$500,MATCH($A94,'Loans (reference)'!$A$2:$A$500,0)),"not found"))</f>
        <v/>
      </c>
      <c r="C94" s="13" t="str">
        <f aca="false">IF($A94="","",IFERROR(INDEX('Loans (reference)'!$K$2:$K$500,MATCH($A94,'Loans (reference)'!$A$2:$A$500,0)),""))</f>
        <v/>
      </c>
      <c r="D94" s="14"/>
      <c r="E94" s="15"/>
      <c r="F94" s="16"/>
      <c r="G94" s="16"/>
      <c r="H94" s="16"/>
      <c r="I94" s="16"/>
      <c r="J94" s="17" t="str">
        <f aca="false">IF(COUNT($F94:$H94)=0,"",SUM($F94:$H94))</f>
        <v/>
      </c>
      <c r="K94" s="14"/>
      <c r="L94" s="14"/>
      <c r="M94" s="14"/>
      <c r="N94" s="13" t="str">
        <f aca="false">IF(COUNTA($A94,$D94:$I94,$K94:$M94)=0,"",IF($A94="","Add Loan UID",IF(ISNA(MATCH($A94,'Loans (reference)'!$A$2:$A$500,0)),"UID not in Loans tab",IF($D94="","Add payment no.",IF(COUNTIFS($A$2:$A$300,$A94,$D$2:$D$300,$D94)&gt;1,"Duplicate payment no.",IF($E94="","Add payment date",IF(COUNT($F94:$H94)=0,"Add an amount","Ready")))))))</f>
        <v/>
      </c>
      <c r="O94" s="18"/>
      <c r="P94" s="19"/>
    </row>
    <row r="95" customFormat="false" ht="15" hidden="false" customHeight="false" outlineLevel="0" collapsed="false">
      <c r="A95" s="12"/>
      <c r="B95" s="13" t="str">
        <f aca="false">IF($A95="","",IFERROR(INDEX('Loans (reference)'!$B$2:$B$500,MATCH($A95,'Loans (reference)'!$A$2:$A$500,0)),"not found"))</f>
        <v/>
      </c>
      <c r="C95" s="13" t="str">
        <f aca="false">IF($A95="","",IFERROR(INDEX('Loans (reference)'!$K$2:$K$500,MATCH($A95,'Loans (reference)'!$A$2:$A$500,0)),""))</f>
        <v/>
      </c>
      <c r="D95" s="14"/>
      <c r="E95" s="15"/>
      <c r="F95" s="16"/>
      <c r="G95" s="16"/>
      <c r="H95" s="16"/>
      <c r="I95" s="16"/>
      <c r="J95" s="17" t="str">
        <f aca="false">IF(COUNT($F95:$H95)=0,"",SUM($F95:$H95))</f>
        <v/>
      </c>
      <c r="K95" s="14"/>
      <c r="L95" s="14"/>
      <c r="M95" s="14"/>
      <c r="N95" s="13" t="str">
        <f aca="false">IF(COUNTA($A95,$D95:$I95,$K95:$M95)=0,"",IF($A95="","Add Loan UID",IF(ISNA(MATCH($A95,'Loans (reference)'!$A$2:$A$500,0)),"UID not in Loans tab",IF($D95="","Add payment no.",IF(COUNTIFS($A$2:$A$300,$A95,$D$2:$D$300,$D95)&gt;1,"Duplicate payment no.",IF($E95="","Add payment date",IF(COUNT($F95:$H95)=0,"Add an amount","Ready")))))))</f>
        <v/>
      </c>
      <c r="O95" s="18"/>
      <c r="P95" s="19"/>
    </row>
    <row r="96" customFormat="false" ht="15" hidden="false" customHeight="false" outlineLevel="0" collapsed="false">
      <c r="A96" s="12"/>
      <c r="B96" s="13" t="str">
        <f aca="false">IF($A96="","",IFERROR(INDEX('Loans (reference)'!$B$2:$B$500,MATCH($A96,'Loans (reference)'!$A$2:$A$500,0)),"not found"))</f>
        <v/>
      </c>
      <c r="C96" s="13" t="str">
        <f aca="false">IF($A96="","",IFERROR(INDEX('Loans (reference)'!$K$2:$K$500,MATCH($A96,'Loans (reference)'!$A$2:$A$500,0)),""))</f>
        <v/>
      </c>
      <c r="D96" s="14"/>
      <c r="E96" s="15"/>
      <c r="F96" s="16"/>
      <c r="G96" s="16"/>
      <c r="H96" s="16"/>
      <c r="I96" s="16"/>
      <c r="J96" s="17" t="str">
        <f aca="false">IF(COUNT($F96:$H96)=0,"",SUM($F96:$H96))</f>
        <v/>
      </c>
      <c r="K96" s="14"/>
      <c r="L96" s="14"/>
      <c r="M96" s="14"/>
      <c r="N96" s="13" t="str">
        <f aca="false">IF(COUNTA($A96,$D96:$I96,$K96:$M96)=0,"",IF($A96="","Add Loan UID",IF(ISNA(MATCH($A96,'Loans (reference)'!$A$2:$A$500,0)),"UID not in Loans tab",IF($D96="","Add payment no.",IF(COUNTIFS($A$2:$A$300,$A96,$D$2:$D$300,$D96)&gt;1,"Duplicate payment no.",IF($E96="","Add payment date",IF(COUNT($F96:$H96)=0,"Add an amount","Ready")))))))</f>
        <v/>
      </c>
      <c r="O96" s="18"/>
      <c r="P96" s="19"/>
    </row>
    <row r="97" customFormat="false" ht="15" hidden="false" customHeight="false" outlineLevel="0" collapsed="false">
      <c r="A97" s="12"/>
      <c r="B97" s="13" t="str">
        <f aca="false">IF($A97="","",IFERROR(INDEX('Loans (reference)'!$B$2:$B$500,MATCH($A97,'Loans (reference)'!$A$2:$A$500,0)),"not found"))</f>
        <v/>
      </c>
      <c r="C97" s="13" t="str">
        <f aca="false">IF($A97="","",IFERROR(INDEX('Loans (reference)'!$K$2:$K$500,MATCH($A97,'Loans (reference)'!$A$2:$A$500,0)),""))</f>
        <v/>
      </c>
      <c r="D97" s="14"/>
      <c r="E97" s="15"/>
      <c r="F97" s="16"/>
      <c r="G97" s="16"/>
      <c r="H97" s="16"/>
      <c r="I97" s="16"/>
      <c r="J97" s="17" t="str">
        <f aca="false">IF(COUNT($F97:$H97)=0,"",SUM($F97:$H97))</f>
        <v/>
      </c>
      <c r="K97" s="14"/>
      <c r="L97" s="14"/>
      <c r="M97" s="14"/>
      <c r="N97" s="13" t="str">
        <f aca="false">IF(COUNTA($A97,$D97:$I97,$K97:$M97)=0,"",IF($A97="","Add Loan UID",IF(ISNA(MATCH($A97,'Loans (reference)'!$A$2:$A$500,0)),"UID not in Loans tab",IF($D97="","Add payment no.",IF(COUNTIFS($A$2:$A$300,$A97,$D$2:$D$300,$D97)&gt;1,"Duplicate payment no.",IF($E97="","Add payment date",IF(COUNT($F97:$H97)=0,"Add an amount","Ready")))))))</f>
        <v/>
      </c>
      <c r="O97" s="18"/>
      <c r="P97" s="19"/>
    </row>
    <row r="98" customFormat="false" ht="15" hidden="false" customHeight="false" outlineLevel="0" collapsed="false">
      <c r="A98" s="12"/>
      <c r="B98" s="13" t="str">
        <f aca="false">IF($A98="","",IFERROR(INDEX('Loans (reference)'!$B$2:$B$500,MATCH($A98,'Loans (reference)'!$A$2:$A$500,0)),"not found"))</f>
        <v/>
      </c>
      <c r="C98" s="13" t="str">
        <f aca="false">IF($A98="","",IFERROR(INDEX('Loans (reference)'!$K$2:$K$500,MATCH($A98,'Loans (reference)'!$A$2:$A$500,0)),""))</f>
        <v/>
      </c>
      <c r="D98" s="14"/>
      <c r="E98" s="15"/>
      <c r="F98" s="16"/>
      <c r="G98" s="16"/>
      <c r="H98" s="16"/>
      <c r="I98" s="16"/>
      <c r="J98" s="17" t="str">
        <f aca="false">IF(COUNT($F98:$H98)=0,"",SUM($F98:$H98))</f>
        <v/>
      </c>
      <c r="K98" s="14"/>
      <c r="L98" s="14"/>
      <c r="M98" s="14"/>
      <c r="N98" s="13" t="str">
        <f aca="false">IF(COUNTA($A98,$D98:$I98,$K98:$M98)=0,"",IF($A98="","Add Loan UID",IF(ISNA(MATCH($A98,'Loans (reference)'!$A$2:$A$500,0)),"UID not in Loans tab",IF($D98="","Add payment no.",IF(COUNTIFS($A$2:$A$300,$A98,$D$2:$D$300,$D98)&gt;1,"Duplicate payment no.",IF($E98="","Add payment date",IF(COUNT($F98:$H98)=0,"Add an amount","Ready")))))))</f>
        <v/>
      </c>
      <c r="O98" s="18"/>
      <c r="P98" s="19"/>
    </row>
    <row r="99" customFormat="false" ht="15" hidden="false" customHeight="false" outlineLevel="0" collapsed="false">
      <c r="A99" s="12"/>
      <c r="B99" s="13" t="str">
        <f aca="false">IF($A99="","",IFERROR(INDEX('Loans (reference)'!$B$2:$B$500,MATCH($A99,'Loans (reference)'!$A$2:$A$500,0)),"not found"))</f>
        <v/>
      </c>
      <c r="C99" s="13" t="str">
        <f aca="false">IF($A99="","",IFERROR(INDEX('Loans (reference)'!$K$2:$K$500,MATCH($A99,'Loans (reference)'!$A$2:$A$500,0)),""))</f>
        <v/>
      </c>
      <c r="D99" s="14"/>
      <c r="E99" s="15"/>
      <c r="F99" s="16"/>
      <c r="G99" s="16"/>
      <c r="H99" s="16"/>
      <c r="I99" s="16"/>
      <c r="J99" s="17" t="str">
        <f aca="false">IF(COUNT($F99:$H99)=0,"",SUM($F99:$H99))</f>
        <v/>
      </c>
      <c r="K99" s="14"/>
      <c r="L99" s="14"/>
      <c r="M99" s="14"/>
      <c r="N99" s="13" t="str">
        <f aca="false">IF(COUNTA($A99,$D99:$I99,$K99:$M99)=0,"",IF($A99="","Add Loan UID",IF(ISNA(MATCH($A99,'Loans (reference)'!$A$2:$A$500,0)),"UID not in Loans tab",IF($D99="","Add payment no.",IF(COUNTIFS($A$2:$A$300,$A99,$D$2:$D$300,$D99)&gt;1,"Duplicate payment no.",IF($E99="","Add payment date",IF(COUNT($F99:$H99)=0,"Add an amount","Ready")))))))</f>
        <v/>
      </c>
      <c r="O99" s="18"/>
      <c r="P99" s="19"/>
    </row>
    <row r="100" customFormat="false" ht="15" hidden="false" customHeight="false" outlineLevel="0" collapsed="false">
      <c r="A100" s="12"/>
      <c r="B100" s="13" t="str">
        <f aca="false">IF($A100="","",IFERROR(INDEX('Loans (reference)'!$B$2:$B$500,MATCH($A100,'Loans (reference)'!$A$2:$A$500,0)),"not found"))</f>
        <v/>
      </c>
      <c r="C100" s="13" t="str">
        <f aca="false">IF($A100="","",IFERROR(INDEX('Loans (reference)'!$K$2:$K$500,MATCH($A100,'Loans (reference)'!$A$2:$A$500,0)),""))</f>
        <v/>
      </c>
      <c r="D100" s="14"/>
      <c r="E100" s="15"/>
      <c r="F100" s="16"/>
      <c r="G100" s="16"/>
      <c r="H100" s="16"/>
      <c r="I100" s="16"/>
      <c r="J100" s="17" t="str">
        <f aca="false">IF(COUNT($F100:$H100)=0,"",SUM($F100:$H100))</f>
        <v/>
      </c>
      <c r="K100" s="14"/>
      <c r="L100" s="14"/>
      <c r="M100" s="14"/>
      <c r="N100" s="13" t="str">
        <f aca="false">IF(COUNTA($A100,$D100:$I100,$K100:$M100)=0,"",IF($A100="","Add Loan UID",IF(ISNA(MATCH($A100,'Loans (reference)'!$A$2:$A$500,0)),"UID not in Loans tab",IF($D100="","Add payment no.",IF(COUNTIFS($A$2:$A$300,$A100,$D$2:$D$300,$D100)&gt;1,"Duplicate payment no.",IF($E100="","Add payment date",IF(COUNT($F100:$H100)=0,"Add an amount","Ready")))))))</f>
        <v/>
      </c>
      <c r="O100" s="18"/>
      <c r="P100" s="19"/>
    </row>
    <row r="101" customFormat="false" ht="15" hidden="false" customHeight="false" outlineLevel="0" collapsed="false">
      <c r="A101" s="12"/>
      <c r="B101" s="13" t="str">
        <f aca="false">IF($A101="","",IFERROR(INDEX('Loans (reference)'!$B$2:$B$500,MATCH($A101,'Loans (reference)'!$A$2:$A$500,0)),"not found"))</f>
        <v/>
      </c>
      <c r="C101" s="13" t="str">
        <f aca="false">IF($A101="","",IFERROR(INDEX('Loans (reference)'!$K$2:$K$500,MATCH($A101,'Loans (reference)'!$A$2:$A$500,0)),""))</f>
        <v/>
      </c>
      <c r="D101" s="14"/>
      <c r="E101" s="15"/>
      <c r="F101" s="16"/>
      <c r="G101" s="16"/>
      <c r="H101" s="16"/>
      <c r="I101" s="16"/>
      <c r="J101" s="17" t="str">
        <f aca="false">IF(COUNT($F101:$H101)=0,"",SUM($F101:$H101))</f>
        <v/>
      </c>
      <c r="K101" s="14"/>
      <c r="L101" s="14"/>
      <c r="M101" s="14"/>
      <c r="N101" s="13" t="str">
        <f aca="false">IF(COUNTA($A101,$D101:$I101,$K101:$M101)=0,"",IF($A101="","Add Loan UID",IF(ISNA(MATCH($A101,'Loans (reference)'!$A$2:$A$500,0)),"UID not in Loans tab",IF($D101="","Add payment no.",IF(COUNTIFS($A$2:$A$300,$A101,$D$2:$D$300,$D101)&gt;1,"Duplicate payment no.",IF($E101="","Add payment date",IF(COUNT($F101:$H101)=0,"Add an amount","Ready")))))))</f>
        <v/>
      </c>
      <c r="O101" s="18"/>
      <c r="P101" s="19"/>
    </row>
    <row r="102" customFormat="false" ht="15" hidden="false" customHeight="false" outlineLevel="0" collapsed="false">
      <c r="A102" s="12"/>
      <c r="B102" s="13" t="str">
        <f aca="false">IF($A102="","",IFERROR(INDEX('Loans (reference)'!$B$2:$B$500,MATCH($A102,'Loans (reference)'!$A$2:$A$500,0)),"not found"))</f>
        <v/>
      </c>
      <c r="C102" s="13" t="str">
        <f aca="false">IF($A102="","",IFERROR(INDEX('Loans (reference)'!$K$2:$K$500,MATCH($A102,'Loans (reference)'!$A$2:$A$500,0)),""))</f>
        <v/>
      </c>
      <c r="D102" s="14"/>
      <c r="E102" s="15"/>
      <c r="F102" s="16"/>
      <c r="G102" s="16"/>
      <c r="H102" s="16"/>
      <c r="I102" s="16"/>
      <c r="J102" s="17" t="str">
        <f aca="false">IF(COUNT($F102:$H102)=0,"",SUM($F102:$H102))</f>
        <v/>
      </c>
      <c r="K102" s="14"/>
      <c r="L102" s="14"/>
      <c r="M102" s="14"/>
      <c r="N102" s="13" t="str">
        <f aca="false">IF(COUNTA($A102,$D102:$I102,$K102:$M102)=0,"",IF($A102="","Add Loan UID",IF(ISNA(MATCH($A102,'Loans (reference)'!$A$2:$A$500,0)),"UID not in Loans tab",IF($D102="","Add payment no.",IF(COUNTIFS($A$2:$A$300,$A102,$D$2:$D$300,$D102)&gt;1,"Duplicate payment no.",IF($E102="","Add payment date",IF(COUNT($F102:$H102)=0,"Add an amount","Ready")))))))</f>
        <v/>
      </c>
      <c r="O102" s="18"/>
      <c r="P102" s="19"/>
    </row>
    <row r="103" customFormat="false" ht="15" hidden="false" customHeight="false" outlineLevel="0" collapsed="false">
      <c r="A103" s="12"/>
      <c r="B103" s="13" t="str">
        <f aca="false">IF($A103="","",IFERROR(INDEX('Loans (reference)'!$B$2:$B$500,MATCH($A103,'Loans (reference)'!$A$2:$A$500,0)),"not found"))</f>
        <v/>
      </c>
      <c r="C103" s="13" t="str">
        <f aca="false">IF($A103="","",IFERROR(INDEX('Loans (reference)'!$K$2:$K$500,MATCH($A103,'Loans (reference)'!$A$2:$A$500,0)),""))</f>
        <v/>
      </c>
      <c r="D103" s="14"/>
      <c r="E103" s="15"/>
      <c r="F103" s="16"/>
      <c r="G103" s="16"/>
      <c r="H103" s="16"/>
      <c r="I103" s="16"/>
      <c r="J103" s="17" t="str">
        <f aca="false">IF(COUNT($F103:$H103)=0,"",SUM($F103:$H103))</f>
        <v/>
      </c>
      <c r="K103" s="14"/>
      <c r="L103" s="14"/>
      <c r="M103" s="14"/>
      <c r="N103" s="13" t="str">
        <f aca="false">IF(COUNTA($A103,$D103:$I103,$K103:$M103)=0,"",IF($A103="","Add Loan UID",IF(ISNA(MATCH($A103,'Loans (reference)'!$A$2:$A$500,0)),"UID not in Loans tab",IF($D103="","Add payment no.",IF(COUNTIFS($A$2:$A$300,$A103,$D$2:$D$300,$D103)&gt;1,"Duplicate payment no.",IF($E103="","Add payment date",IF(COUNT($F103:$H103)=0,"Add an amount","Ready")))))))</f>
        <v/>
      </c>
      <c r="O103" s="18"/>
      <c r="P103" s="19"/>
    </row>
    <row r="104" customFormat="false" ht="15" hidden="false" customHeight="false" outlineLevel="0" collapsed="false">
      <c r="A104" s="12"/>
      <c r="B104" s="13" t="str">
        <f aca="false">IF($A104="","",IFERROR(INDEX('Loans (reference)'!$B$2:$B$500,MATCH($A104,'Loans (reference)'!$A$2:$A$500,0)),"not found"))</f>
        <v/>
      </c>
      <c r="C104" s="13" t="str">
        <f aca="false">IF($A104="","",IFERROR(INDEX('Loans (reference)'!$K$2:$K$500,MATCH($A104,'Loans (reference)'!$A$2:$A$500,0)),""))</f>
        <v/>
      </c>
      <c r="D104" s="14"/>
      <c r="E104" s="15"/>
      <c r="F104" s="16"/>
      <c r="G104" s="16"/>
      <c r="H104" s="16"/>
      <c r="I104" s="16"/>
      <c r="J104" s="17" t="str">
        <f aca="false">IF(COUNT($F104:$H104)=0,"",SUM($F104:$H104))</f>
        <v/>
      </c>
      <c r="K104" s="14"/>
      <c r="L104" s="14"/>
      <c r="M104" s="14"/>
      <c r="N104" s="13" t="str">
        <f aca="false">IF(COUNTA($A104,$D104:$I104,$K104:$M104)=0,"",IF($A104="","Add Loan UID",IF(ISNA(MATCH($A104,'Loans (reference)'!$A$2:$A$500,0)),"UID not in Loans tab",IF($D104="","Add payment no.",IF(COUNTIFS($A$2:$A$300,$A104,$D$2:$D$300,$D104)&gt;1,"Duplicate payment no.",IF($E104="","Add payment date",IF(COUNT($F104:$H104)=0,"Add an amount","Ready")))))))</f>
        <v/>
      </c>
      <c r="O104" s="18"/>
      <c r="P104" s="19"/>
    </row>
    <row r="105" customFormat="false" ht="15" hidden="false" customHeight="false" outlineLevel="0" collapsed="false">
      <c r="A105" s="12"/>
      <c r="B105" s="13" t="str">
        <f aca="false">IF($A105="","",IFERROR(INDEX('Loans (reference)'!$B$2:$B$500,MATCH($A105,'Loans (reference)'!$A$2:$A$500,0)),"not found"))</f>
        <v/>
      </c>
      <c r="C105" s="13" t="str">
        <f aca="false">IF($A105="","",IFERROR(INDEX('Loans (reference)'!$K$2:$K$500,MATCH($A105,'Loans (reference)'!$A$2:$A$500,0)),""))</f>
        <v/>
      </c>
      <c r="D105" s="14"/>
      <c r="E105" s="15"/>
      <c r="F105" s="16"/>
      <c r="G105" s="16"/>
      <c r="H105" s="16"/>
      <c r="I105" s="16"/>
      <c r="J105" s="17" t="str">
        <f aca="false">IF(COUNT($F105:$H105)=0,"",SUM($F105:$H105))</f>
        <v/>
      </c>
      <c r="K105" s="14"/>
      <c r="L105" s="14"/>
      <c r="M105" s="14"/>
      <c r="N105" s="13" t="str">
        <f aca="false">IF(COUNTA($A105,$D105:$I105,$K105:$M105)=0,"",IF($A105="","Add Loan UID",IF(ISNA(MATCH($A105,'Loans (reference)'!$A$2:$A$500,0)),"UID not in Loans tab",IF($D105="","Add payment no.",IF(COUNTIFS($A$2:$A$300,$A105,$D$2:$D$300,$D105)&gt;1,"Duplicate payment no.",IF($E105="","Add payment date",IF(COUNT($F105:$H105)=0,"Add an amount","Ready")))))))</f>
        <v/>
      </c>
      <c r="O105" s="18"/>
      <c r="P105" s="19"/>
    </row>
    <row r="106" customFormat="false" ht="15" hidden="false" customHeight="false" outlineLevel="0" collapsed="false">
      <c r="A106" s="12"/>
      <c r="B106" s="13" t="str">
        <f aca="false">IF($A106="","",IFERROR(INDEX('Loans (reference)'!$B$2:$B$500,MATCH($A106,'Loans (reference)'!$A$2:$A$500,0)),"not found"))</f>
        <v/>
      </c>
      <c r="C106" s="13" t="str">
        <f aca="false">IF($A106="","",IFERROR(INDEX('Loans (reference)'!$K$2:$K$500,MATCH($A106,'Loans (reference)'!$A$2:$A$500,0)),""))</f>
        <v/>
      </c>
      <c r="D106" s="14"/>
      <c r="E106" s="15"/>
      <c r="F106" s="16"/>
      <c r="G106" s="16"/>
      <c r="H106" s="16"/>
      <c r="I106" s="16"/>
      <c r="J106" s="17" t="str">
        <f aca="false">IF(COUNT($F106:$H106)=0,"",SUM($F106:$H106))</f>
        <v/>
      </c>
      <c r="K106" s="14"/>
      <c r="L106" s="14"/>
      <c r="M106" s="14"/>
      <c r="N106" s="13" t="str">
        <f aca="false">IF(COUNTA($A106,$D106:$I106,$K106:$M106)=0,"",IF($A106="","Add Loan UID",IF(ISNA(MATCH($A106,'Loans (reference)'!$A$2:$A$500,0)),"UID not in Loans tab",IF($D106="","Add payment no.",IF(COUNTIFS($A$2:$A$300,$A106,$D$2:$D$300,$D106)&gt;1,"Duplicate payment no.",IF($E106="","Add payment date",IF(COUNT($F106:$H106)=0,"Add an amount","Ready")))))))</f>
        <v/>
      </c>
      <c r="O106" s="18"/>
      <c r="P106" s="19"/>
    </row>
    <row r="107" customFormat="false" ht="15" hidden="false" customHeight="false" outlineLevel="0" collapsed="false">
      <c r="A107" s="12"/>
      <c r="B107" s="13" t="str">
        <f aca="false">IF($A107="","",IFERROR(INDEX('Loans (reference)'!$B$2:$B$500,MATCH($A107,'Loans (reference)'!$A$2:$A$500,0)),"not found"))</f>
        <v/>
      </c>
      <c r="C107" s="13" t="str">
        <f aca="false">IF($A107="","",IFERROR(INDEX('Loans (reference)'!$K$2:$K$500,MATCH($A107,'Loans (reference)'!$A$2:$A$500,0)),""))</f>
        <v/>
      </c>
      <c r="D107" s="14"/>
      <c r="E107" s="15"/>
      <c r="F107" s="16"/>
      <c r="G107" s="16"/>
      <c r="H107" s="16"/>
      <c r="I107" s="16"/>
      <c r="J107" s="17" t="str">
        <f aca="false">IF(COUNT($F107:$H107)=0,"",SUM($F107:$H107))</f>
        <v/>
      </c>
      <c r="K107" s="14"/>
      <c r="L107" s="14"/>
      <c r="M107" s="14"/>
      <c r="N107" s="13" t="str">
        <f aca="false">IF(COUNTA($A107,$D107:$I107,$K107:$M107)=0,"",IF($A107="","Add Loan UID",IF(ISNA(MATCH($A107,'Loans (reference)'!$A$2:$A$500,0)),"UID not in Loans tab",IF($D107="","Add payment no.",IF(COUNTIFS($A$2:$A$300,$A107,$D$2:$D$300,$D107)&gt;1,"Duplicate payment no.",IF($E107="","Add payment date",IF(COUNT($F107:$H107)=0,"Add an amount","Ready")))))))</f>
        <v/>
      </c>
      <c r="O107" s="18"/>
      <c r="P107" s="19"/>
    </row>
    <row r="108" customFormat="false" ht="15" hidden="false" customHeight="false" outlineLevel="0" collapsed="false">
      <c r="A108" s="12"/>
      <c r="B108" s="13" t="str">
        <f aca="false">IF($A108="","",IFERROR(INDEX('Loans (reference)'!$B$2:$B$500,MATCH($A108,'Loans (reference)'!$A$2:$A$500,0)),"not found"))</f>
        <v/>
      </c>
      <c r="C108" s="13" t="str">
        <f aca="false">IF($A108="","",IFERROR(INDEX('Loans (reference)'!$K$2:$K$500,MATCH($A108,'Loans (reference)'!$A$2:$A$500,0)),""))</f>
        <v/>
      </c>
      <c r="D108" s="14"/>
      <c r="E108" s="15"/>
      <c r="F108" s="16"/>
      <c r="G108" s="16"/>
      <c r="H108" s="16"/>
      <c r="I108" s="16"/>
      <c r="J108" s="17" t="str">
        <f aca="false">IF(COUNT($F108:$H108)=0,"",SUM($F108:$H108))</f>
        <v/>
      </c>
      <c r="K108" s="14"/>
      <c r="L108" s="14"/>
      <c r="M108" s="14"/>
      <c r="N108" s="13" t="str">
        <f aca="false">IF(COUNTA($A108,$D108:$I108,$K108:$M108)=0,"",IF($A108="","Add Loan UID",IF(ISNA(MATCH($A108,'Loans (reference)'!$A$2:$A$500,0)),"UID not in Loans tab",IF($D108="","Add payment no.",IF(COUNTIFS($A$2:$A$300,$A108,$D$2:$D$300,$D108)&gt;1,"Duplicate payment no.",IF($E108="","Add payment date",IF(COUNT($F108:$H108)=0,"Add an amount","Ready")))))))</f>
        <v/>
      </c>
      <c r="O108" s="18"/>
      <c r="P108" s="19"/>
    </row>
    <row r="109" customFormat="false" ht="15" hidden="false" customHeight="false" outlineLevel="0" collapsed="false">
      <c r="A109" s="12"/>
      <c r="B109" s="13" t="str">
        <f aca="false">IF($A109="","",IFERROR(INDEX('Loans (reference)'!$B$2:$B$500,MATCH($A109,'Loans (reference)'!$A$2:$A$500,0)),"not found"))</f>
        <v/>
      </c>
      <c r="C109" s="13" t="str">
        <f aca="false">IF($A109="","",IFERROR(INDEX('Loans (reference)'!$K$2:$K$500,MATCH($A109,'Loans (reference)'!$A$2:$A$500,0)),""))</f>
        <v/>
      </c>
      <c r="D109" s="14"/>
      <c r="E109" s="15"/>
      <c r="F109" s="16"/>
      <c r="G109" s="16"/>
      <c r="H109" s="16"/>
      <c r="I109" s="16"/>
      <c r="J109" s="17" t="str">
        <f aca="false">IF(COUNT($F109:$H109)=0,"",SUM($F109:$H109))</f>
        <v/>
      </c>
      <c r="K109" s="14"/>
      <c r="L109" s="14"/>
      <c r="M109" s="14"/>
      <c r="N109" s="13" t="str">
        <f aca="false">IF(COUNTA($A109,$D109:$I109,$K109:$M109)=0,"",IF($A109="","Add Loan UID",IF(ISNA(MATCH($A109,'Loans (reference)'!$A$2:$A$500,0)),"UID not in Loans tab",IF($D109="","Add payment no.",IF(COUNTIFS($A$2:$A$300,$A109,$D$2:$D$300,$D109)&gt;1,"Duplicate payment no.",IF($E109="","Add payment date",IF(COUNT($F109:$H109)=0,"Add an amount","Ready")))))))</f>
        <v/>
      </c>
      <c r="O109" s="18"/>
      <c r="P109" s="19"/>
    </row>
    <row r="110" customFormat="false" ht="15" hidden="false" customHeight="false" outlineLevel="0" collapsed="false">
      <c r="A110" s="12"/>
      <c r="B110" s="13" t="str">
        <f aca="false">IF($A110="","",IFERROR(INDEX('Loans (reference)'!$B$2:$B$500,MATCH($A110,'Loans (reference)'!$A$2:$A$500,0)),"not found"))</f>
        <v/>
      </c>
      <c r="C110" s="13" t="str">
        <f aca="false">IF($A110="","",IFERROR(INDEX('Loans (reference)'!$K$2:$K$500,MATCH($A110,'Loans (reference)'!$A$2:$A$500,0)),""))</f>
        <v/>
      </c>
      <c r="D110" s="14"/>
      <c r="E110" s="15"/>
      <c r="F110" s="16"/>
      <c r="G110" s="16"/>
      <c r="H110" s="16"/>
      <c r="I110" s="16"/>
      <c r="J110" s="17" t="str">
        <f aca="false">IF(COUNT($F110:$H110)=0,"",SUM($F110:$H110))</f>
        <v/>
      </c>
      <c r="K110" s="14"/>
      <c r="L110" s="14"/>
      <c r="M110" s="14"/>
      <c r="N110" s="13" t="str">
        <f aca="false">IF(COUNTA($A110,$D110:$I110,$K110:$M110)=0,"",IF($A110="","Add Loan UID",IF(ISNA(MATCH($A110,'Loans (reference)'!$A$2:$A$500,0)),"UID not in Loans tab",IF($D110="","Add payment no.",IF(COUNTIFS($A$2:$A$300,$A110,$D$2:$D$300,$D110)&gt;1,"Duplicate payment no.",IF($E110="","Add payment date",IF(COUNT($F110:$H110)=0,"Add an amount","Ready")))))))</f>
        <v/>
      </c>
      <c r="O110" s="18"/>
      <c r="P110" s="19"/>
    </row>
    <row r="111" customFormat="false" ht="15" hidden="false" customHeight="false" outlineLevel="0" collapsed="false">
      <c r="A111" s="12"/>
      <c r="B111" s="13" t="str">
        <f aca="false">IF($A111="","",IFERROR(INDEX('Loans (reference)'!$B$2:$B$500,MATCH($A111,'Loans (reference)'!$A$2:$A$500,0)),"not found"))</f>
        <v/>
      </c>
      <c r="C111" s="13" t="str">
        <f aca="false">IF($A111="","",IFERROR(INDEX('Loans (reference)'!$K$2:$K$500,MATCH($A111,'Loans (reference)'!$A$2:$A$500,0)),""))</f>
        <v/>
      </c>
      <c r="D111" s="14"/>
      <c r="E111" s="15"/>
      <c r="F111" s="16"/>
      <c r="G111" s="16"/>
      <c r="H111" s="16"/>
      <c r="I111" s="16"/>
      <c r="J111" s="17" t="str">
        <f aca="false">IF(COUNT($F111:$H111)=0,"",SUM($F111:$H111))</f>
        <v/>
      </c>
      <c r="K111" s="14"/>
      <c r="L111" s="14"/>
      <c r="M111" s="14"/>
      <c r="N111" s="13" t="str">
        <f aca="false">IF(COUNTA($A111,$D111:$I111,$K111:$M111)=0,"",IF($A111="","Add Loan UID",IF(ISNA(MATCH($A111,'Loans (reference)'!$A$2:$A$500,0)),"UID not in Loans tab",IF($D111="","Add payment no.",IF(COUNTIFS($A$2:$A$300,$A111,$D$2:$D$300,$D111)&gt;1,"Duplicate payment no.",IF($E111="","Add payment date",IF(COUNT($F111:$H111)=0,"Add an amount","Ready")))))))</f>
        <v/>
      </c>
      <c r="O111" s="18"/>
      <c r="P111" s="19"/>
    </row>
    <row r="112" customFormat="false" ht="15" hidden="false" customHeight="false" outlineLevel="0" collapsed="false">
      <c r="A112" s="12"/>
      <c r="B112" s="13" t="str">
        <f aca="false">IF($A112="","",IFERROR(INDEX('Loans (reference)'!$B$2:$B$500,MATCH($A112,'Loans (reference)'!$A$2:$A$500,0)),"not found"))</f>
        <v/>
      </c>
      <c r="C112" s="13" t="str">
        <f aca="false">IF($A112="","",IFERROR(INDEX('Loans (reference)'!$K$2:$K$500,MATCH($A112,'Loans (reference)'!$A$2:$A$500,0)),""))</f>
        <v/>
      </c>
      <c r="D112" s="14"/>
      <c r="E112" s="15"/>
      <c r="F112" s="16"/>
      <c r="G112" s="16"/>
      <c r="H112" s="16"/>
      <c r="I112" s="16"/>
      <c r="J112" s="17" t="str">
        <f aca="false">IF(COUNT($F112:$H112)=0,"",SUM($F112:$H112))</f>
        <v/>
      </c>
      <c r="K112" s="14"/>
      <c r="L112" s="14"/>
      <c r="M112" s="14"/>
      <c r="N112" s="13" t="str">
        <f aca="false">IF(COUNTA($A112,$D112:$I112,$K112:$M112)=0,"",IF($A112="","Add Loan UID",IF(ISNA(MATCH($A112,'Loans (reference)'!$A$2:$A$500,0)),"UID not in Loans tab",IF($D112="","Add payment no.",IF(COUNTIFS($A$2:$A$300,$A112,$D$2:$D$300,$D112)&gt;1,"Duplicate payment no.",IF($E112="","Add payment date",IF(COUNT($F112:$H112)=0,"Add an amount","Ready")))))))</f>
        <v/>
      </c>
      <c r="O112" s="18"/>
      <c r="P112" s="19"/>
    </row>
    <row r="113" customFormat="false" ht="15" hidden="false" customHeight="false" outlineLevel="0" collapsed="false">
      <c r="A113" s="12"/>
      <c r="B113" s="13" t="str">
        <f aca="false">IF($A113="","",IFERROR(INDEX('Loans (reference)'!$B$2:$B$500,MATCH($A113,'Loans (reference)'!$A$2:$A$500,0)),"not found"))</f>
        <v/>
      </c>
      <c r="C113" s="13" t="str">
        <f aca="false">IF($A113="","",IFERROR(INDEX('Loans (reference)'!$K$2:$K$500,MATCH($A113,'Loans (reference)'!$A$2:$A$500,0)),""))</f>
        <v/>
      </c>
      <c r="D113" s="14"/>
      <c r="E113" s="15"/>
      <c r="F113" s="16"/>
      <c r="G113" s="16"/>
      <c r="H113" s="16"/>
      <c r="I113" s="16"/>
      <c r="J113" s="17" t="str">
        <f aca="false">IF(COUNT($F113:$H113)=0,"",SUM($F113:$H113))</f>
        <v/>
      </c>
      <c r="K113" s="14"/>
      <c r="L113" s="14"/>
      <c r="M113" s="14"/>
      <c r="N113" s="13" t="str">
        <f aca="false">IF(COUNTA($A113,$D113:$I113,$K113:$M113)=0,"",IF($A113="","Add Loan UID",IF(ISNA(MATCH($A113,'Loans (reference)'!$A$2:$A$500,0)),"UID not in Loans tab",IF($D113="","Add payment no.",IF(COUNTIFS($A$2:$A$300,$A113,$D$2:$D$300,$D113)&gt;1,"Duplicate payment no.",IF($E113="","Add payment date",IF(COUNT($F113:$H113)=0,"Add an amount","Ready")))))))</f>
        <v/>
      </c>
      <c r="O113" s="18"/>
      <c r="P113" s="19"/>
    </row>
    <row r="114" customFormat="false" ht="15" hidden="false" customHeight="false" outlineLevel="0" collapsed="false">
      <c r="A114" s="12"/>
      <c r="B114" s="13" t="str">
        <f aca="false">IF($A114="","",IFERROR(INDEX('Loans (reference)'!$B$2:$B$500,MATCH($A114,'Loans (reference)'!$A$2:$A$500,0)),"not found"))</f>
        <v/>
      </c>
      <c r="C114" s="13" t="str">
        <f aca="false">IF($A114="","",IFERROR(INDEX('Loans (reference)'!$K$2:$K$500,MATCH($A114,'Loans (reference)'!$A$2:$A$500,0)),""))</f>
        <v/>
      </c>
      <c r="D114" s="14"/>
      <c r="E114" s="15"/>
      <c r="F114" s="16"/>
      <c r="G114" s="16"/>
      <c r="H114" s="16"/>
      <c r="I114" s="16"/>
      <c r="J114" s="17" t="str">
        <f aca="false">IF(COUNT($F114:$H114)=0,"",SUM($F114:$H114))</f>
        <v/>
      </c>
      <c r="K114" s="14"/>
      <c r="L114" s="14"/>
      <c r="M114" s="14"/>
      <c r="N114" s="13" t="str">
        <f aca="false">IF(COUNTA($A114,$D114:$I114,$K114:$M114)=0,"",IF($A114="","Add Loan UID",IF(ISNA(MATCH($A114,'Loans (reference)'!$A$2:$A$500,0)),"UID not in Loans tab",IF($D114="","Add payment no.",IF(COUNTIFS($A$2:$A$300,$A114,$D$2:$D$300,$D114)&gt;1,"Duplicate payment no.",IF($E114="","Add payment date",IF(COUNT($F114:$H114)=0,"Add an amount","Ready")))))))</f>
        <v/>
      </c>
      <c r="O114" s="18"/>
      <c r="P114" s="19"/>
    </row>
    <row r="115" customFormat="false" ht="15" hidden="false" customHeight="false" outlineLevel="0" collapsed="false">
      <c r="A115" s="12"/>
      <c r="B115" s="13" t="str">
        <f aca="false">IF($A115="","",IFERROR(INDEX('Loans (reference)'!$B$2:$B$500,MATCH($A115,'Loans (reference)'!$A$2:$A$500,0)),"not found"))</f>
        <v/>
      </c>
      <c r="C115" s="13" t="str">
        <f aca="false">IF($A115="","",IFERROR(INDEX('Loans (reference)'!$K$2:$K$500,MATCH($A115,'Loans (reference)'!$A$2:$A$500,0)),""))</f>
        <v/>
      </c>
      <c r="D115" s="14"/>
      <c r="E115" s="15"/>
      <c r="F115" s="16"/>
      <c r="G115" s="16"/>
      <c r="H115" s="16"/>
      <c r="I115" s="16"/>
      <c r="J115" s="17" t="str">
        <f aca="false">IF(COUNT($F115:$H115)=0,"",SUM($F115:$H115))</f>
        <v/>
      </c>
      <c r="K115" s="14"/>
      <c r="L115" s="14"/>
      <c r="M115" s="14"/>
      <c r="N115" s="13" t="str">
        <f aca="false">IF(COUNTA($A115,$D115:$I115,$K115:$M115)=0,"",IF($A115="","Add Loan UID",IF(ISNA(MATCH($A115,'Loans (reference)'!$A$2:$A$500,0)),"UID not in Loans tab",IF($D115="","Add payment no.",IF(COUNTIFS($A$2:$A$300,$A115,$D$2:$D$300,$D115)&gt;1,"Duplicate payment no.",IF($E115="","Add payment date",IF(COUNT($F115:$H115)=0,"Add an amount","Ready")))))))</f>
        <v/>
      </c>
      <c r="O115" s="18"/>
      <c r="P115" s="19"/>
    </row>
    <row r="116" customFormat="false" ht="15" hidden="false" customHeight="false" outlineLevel="0" collapsed="false">
      <c r="A116" s="12"/>
      <c r="B116" s="13" t="str">
        <f aca="false">IF($A116="","",IFERROR(INDEX('Loans (reference)'!$B$2:$B$500,MATCH($A116,'Loans (reference)'!$A$2:$A$500,0)),"not found"))</f>
        <v/>
      </c>
      <c r="C116" s="13" t="str">
        <f aca="false">IF($A116="","",IFERROR(INDEX('Loans (reference)'!$K$2:$K$500,MATCH($A116,'Loans (reference)'!$A$2:$A$500,0)),""))</f>
        <v/>
      </c>
      <c r="D116" s="14"/>
      <c r="E116" s="15"/>
      <c r="F116" s="16"/>
      <c r="G116" s="16"/>
      <c r="H116" s="16"/>
      <c r="I116" s="16"/>
      <c r="J116" s="17" t="str">
        <f aca="false">IF(COUNT($F116:$H116)=0,"",SUM($F116:$H116))</f>
        <v/>
      </c>
      <c r="K116" s="14"/>
      <c r="L116" s="14"/>
      <c r="M116" s="14"/>
      <c r="N116" s="13" t="str">
        <f aca="false">IF(COUNTA($A116,$D116:$I116,$K116:$M116)=0,"",IF($A116="","Add Loan UID",IF(ISNA(MATCH($A116,'Loans (reference)'!$A$2:$A$500,0)),"UID not in Loans tab",IF($D116="","Add payment no.",IF(COUNTIFS($A$2:$A$300,$A116,$D$2:$D$300,$D116)&gt;1,"Duplicate payment no.",IF($E116="","Add payment date",IF(COUNT($F116:$H116)=0,"Add an amount","Ready")))))))</f>
        <v/>
      </c>
      <c r="O116" s="18"/>
      <c r="P116" s="19"/>
    </row>
    <row r="117" customFormat="false" ht="15" hidden="false" customHeight="false" outlineLevel="0" collapsed="false">
      <c r="A117" s="12"/>
      <c r="B117" s="13" t="str">
        <f aca="false">IF($A117="","",IFERROR(INDEX('Loans (reference)'!$B$2:$B$500,MATCH($A117,'Loans (reference)'!$A$2:$A$500,0)),"not found"))</f>
        <v/>
      </c>
      <c r="C117" s="13" t="str">
        <f aca="false">IF($A117="","",IFERROR(INDEX('Loans (reference)'!$K$2:$K$500,MATCH($A117,'Loans (reference)'!$A$2:$A$500,0)),""))</f>
        <v/>
      </c>
      <c r="D117" s="14"/>
      <c r="E117" s="15"/>
      <c r="F117" s="16"/>
      <c r="G117" s="16"/>
      <c r="H117" s="16"/>
      <c r="I117" s="16"/>
      <c r="J117" s="17" t="str">
        <f aca="false">IF(COUNT($F117:$H117)=0,"",SUM($F117:$H117))</f>
        <v/>
      </c>
      <c r="K117" s="14"/>
      <c r="L117" s="14"/>
      <c r="M117" s="14"/>
      <c r="N117" s="13" t="str">
        <f aca="false">IF(COUNTA($A117,$D117:$I117,$K117:$M117)=0,"",IF($A117="","Add Loan UID",IF(ISNA(MATCH($A117,'Loans (reference)'!$A$2:$A$500,0)),"UID not in Loans tab",IF($D117="","Add payment no.",IF(COUNTIFS($A$2:$A$300,$A117,$D$2:$D$300,$D117)&gt;1,"Duplicate payment no.",IF($E117="","Add payment date",IF(COUNT($F117:$H117)=0,"Add an amount","Ready")))))))</f>
        <v/>
      </c>
      <c r="O117" s="18"/>
      <c r="P117" s="19"/>
    </row>
    <row r="118" customFormat="false" ht="15" hidden="false" customHeight="false" outlineLevel="0" collapsed="false">
      <c r="A118" s="12"/>
      <c r="B118" s="13" t="str">
        <f aca="false">IF($A118="","",IFERROR(INDEX('Loans (reference)'!$B$2:$B$500,MATCH($A118,'Loans (reference)'!$A$2:$A$500,0)),"not found"))</f>
        <v/>
      </c>
      <c r="C118" s="13" t="str">
        <f aca="false">IF($A118="","",IFERROR(INDEX('Loans (reference)'!$K$2:$K$500,MATCH($A118,'Loans (reference)'!$A$2:$A$500,0)),""))</f>
        <v/>
      </c>
      <c r="D118" s="14"/>
      <c r="E118" s="15"/>
      <c r="F118" s="16"/>
      <c r="G118" s="16"/>
      <c r="H118" s="16"/>
      <c r="I118" s="16"/>
      <c r="J118" s="17" t="str">
        <f aca="false">IF(COUNT($F118:$H118)=0,"",SUM($F118:$H118))</f>
        <v/>
      </c>
      <c r="K118" s="14"/>
      <c r="L118" s="14"/>
      <c r="M118" s="14"/>
      <c r="N118" s="13" t="str">
        <f aca="false">IF(COUNTA($A118,$D118:$I118,$K118:$M118)=0,"",IF($A118="","Add Loan UID",IF(ISNA(MATCH($A118,'Loans (reference)'!$A$2:$A$500,0)),"UID not in Loans tab",IF($D118="","Add payment no.",IF(COUNTIFS($A$2:$A$300,$A118,$D$2:$D$300,$D118)&gt;1,"Duplicate payment no.",IF($E118="","Add payment date",IF(COUNT($F118:$H118)=0,"Add an amount","Ready")))))))</f>
        <v/>
      </c>
      <c r="O118" s="18"/>
      <c r="P118" s="19"/>
    </row>
    <row r="119" customFormat="false" ht="15" hidden="false" customHeight="false" outlineLevel="0" collapsed="false">
      <c r="A119" s="12"/>
      <c r="B119" s="13" t="str">
        <f aca="false">IF($A119="","",IFERROR(INDEX('Loans (reference)'!$B$2:$B$500,MATCH($A119,'Loans (reference)'!$A$2:$A$500,0)),"not found"))</f>
        <v/>
      </c>
      <c r="C119" s="13" t="str">
        <f aca="false">IF($A119="","",IFERROR(INDEX('Loans (reference)'!$K$2:$K$500,MATCH($A119,'Loans (reference)'!$A$2:$A$500,0)),""))</f>
        <v/>
      </c>
      <c r="D119" s="14"/>
      <c r="E119" s="15"/>
      <c r="F119" s="16"/>
      <c r="G119" s="16"/>
      <c r="H119" s="16"/>
      <c r="I119" s="16"/>
      <c r="J119" s="17" t="str">
        <f aca="false">IF(COUNT($F119:$H119)=0,"",SUM($F119:$H119))</f>
        <v/>
      </c>
      <c r="K119" s="14"/>
      <c r="L119" s="14"/>
      <c r="M119" s="14"/>
      <c r="N119" s="13" t="str">
        <f aca="false">IF(COUNTA($A119,$D119:$I119,$K119:$M119)=0,"",IF($A119="","Add Loan UID",IF(ISNA(MATCH($A119,'Loans (reference)'!$A$2:$A$500,0)),"UID not in Loans tab",IF($D119="","Add payment no.",IF(COUNTIFS($A$2:$A$300,$A119,$D$2:$D$300,$D119)&gt;1,"Duplicate payment no.",IF($E119="","Add payment date",IF(COUNT($F119:$H119)=0,"Add an amount","Ready")))))))</f>
        <v/>
      </c>
      <c r="O119" s="18"/>
      <c r="P119" s="19"/>
    </row>
    <row r="120" customFormat="false" ht="15" hidden="false" customHeight="false" outlineLevel="0" collapsed="false">
      <c r="A120" s="12"/>
      <c r="B120" s="13" t="str">
        <f aca="false">IF($A120="","",IFERROR(INDEX('Loans (reference)'!$B$2:$B$500,MATCH($A120,'Loans (reference)'!$A$2:$A$500,0)),"not found"))</f>
        <v/>
      </c>
      <c r="C120" s="13" t="str">
        <f aca="false">IF($A120="","",IFERROR(INDEX('Loans (reference)'!$K$2:$K$500,MATCH($A120,'Loans (reference)'!$A$2:$A$500,0)),""))</f>
        <v/>
      </c>
      <c r="D120" s="14"/>
      <c r="E120" s="15"/>
      <c r="F120" s="16"/>
      <c r="G120" s="16"/>
      <c r="H120" s="16"/>
      <c r="I120" s="16"/>
      <c r="J120" s="17" t="str">
        <f aca="false">IF(COUNT($F120:$H120)=0,"",SUM($F120:$H120))</f>
        <v/>
      </c>
      <c r="K120" s="14"/>
      <c r="L120" s="14"/>
      <c r="M120" s="14"/>
      <c r="N120" s="13" t="str">
        <f aca="false">IF(COUNTA($A120,$D120:$I120,$K120:$M120)=0,"",IF($A120="","Add Loan UID",IF(ISNA(MATCH($A120,'Loans (reference)'!$A$2:$A$500,0)),"UID not in Loans tab",IF($D120="","Add payment no.",IF(COUNTIFS($A$2:$A$300,$A120,$D$2:$D$300,$D120)&gt;1,"Duplicate payment no.",IF($E120="","Add payment date",IF(COUNT($F120:$H120)=0,"Add an amount","Ready")))))))</f>
        <v/>
      </c>
      <c r="O120" s="18"/>
      <c r="P120" s="19"/>
    </row>
    <row r="121" customFormat="false" ht="15" hidden="false" customHeight="false" outlineLevel="0" collapsed="false">
      <c r="A121" s="12"/>
      <c r="B121" s="13" t="str">
        <f aca="false">IF($A121="","",IFERROR(INDEX('Loans (reference)'!$B$2:$B$500,MATCH($A121,'Loans (reference)'!$A$2:$A$500,0)),"not found"))</f>
        <v/>
      </c>
      <c r="C121" s="13" t="str">
        <f aca="false">IF($A121="","",IFERROR(INDEX('Loans (reference)'!$K$2:$K$500,MATCH($A121,'Loans (reference)'!$A$2:$A$500,0)),""))</f>
        <v/>
      </c>
      <c r="D121" s="14"/>
      <c r="E121" s="15"/>
      <c r="F121" s="16"/>
      <c r="G121" s="16"/>
      <c r="H121" s="16"/>
      <c r="I121" s="16"/>
      <c r="J121" s="17" t="str">
        <f aca="false">IF(COUNT($F121:$H121)=0,"",SUM($F121:$H121))</f>
        <v/>
      </c>
      <c r="K121" s="14"/>
      <c r="L121" s="14"/>
      <c r="M121" s="14"/>
      <c r="N121" s="13" t="str">
        <f aca="false">IF(COUNTA($A121,$D121:$I121,$K121:$M121)=0,"",IF($A121="","Add Loan UID",IF(ISNA(MATCH($A121,'Loans (reference)'!$A$2:$A$500,0)),"UID not in Loans tab",IF($D121="","Add payment no.",IF(COUNTIFS($A$2:$A$300,$A121,$D$2:$D$300,$D121)&gt;1,"Duplicate payment no.",IF($E121="","Add payment date",IF(COUNT($F121:$H121)=0,"Add an amount","Ready")))))))</f>
        <v/>
      </c>
      <c r="O121" s="18"/>
      <c r="P121" s="19"/>
    </row>
    <row r="122" customFormat="false" ht="15" hidden="false" customHeight="false" outlineLevel="0" collapsed="false">
      <c r="A122" s="12"/>
      <c r="B122" s="13" t="str">
        <f aca="false">IF($A122="","",IFERROR(INDEX('Loans (reference)'!$B$2:$B$500,MATCH($A122,'Loans (reference)'!$A$2:$A$500,0)),"not found"))</f>
        <v/>
      </c>
      <c r="C122" s="13" t="str">
        <f aca="false">IF($A122="","",IFERROR(INDEX('Loans (reference)'!$K$2:$K$500,MATCH($A122,'Loans (reference)'!$A$2:$A$500,0)),""))</f>
        <v/>
      </c>
      <c r="D122" s="14"/>
      <c r="E122" s="15"/>
      <c r="F122" s="16"/>
      <c r="G122" s="16"/>
      <c r="H122" s="16"/>
      <c r="I122" s="16"/>
      <c r="J122" s="17" t="str">
        <f aca="false">IF(COUNT($F122:$H122)=0,"",SUM($F122:$H122))</f>
        <v/>
      </c>
      <c r="K122" s="14"/>
      <c r="L122" s="14"/>
      <c r="M122" s="14"/>
      <c r="N122" s="13" t="str">
        <f aca="false">IF(COUNTA($A122,$D122:$I122,$K122:$M122)=0,"",IF($A122="","Add Loan UID",IF(ISNA(MATCH($A122,'Loans (reference)'!$A$2:$A$500,0)),"UID not in Loans tab",IF($D122="","Add payment no.",IF(COUNTIFS($A$2:$A$300,$A122,$D$2:$D$300,$D122)&gt;1,"Duplicate payment no.",IF($E122="","Add payment date",IF(COUNT($F122:$H122)=0,"Add an amount","Ready")))))))</f>
        <v/>
      </c>
      <c r="O122" s="18"/>
      <c r="P122" s="19"/>
    </row>
    <row r="123" customFormat="false" ht="15" hidden="false" customHeight="false" outlineLevel="0" collapsed="false">
      <c r="A123" s="12"/>
      <c r="B123" s="13" t="str">
        <f aca="false">IF($A123="","",IFERROR(INDEX('Loans (reference)'!$B$2:$B$500,MATCH($A123,'Loans (reference)'!$A$2:$A$500,0)),"not found"))</f>
        <v/>
      </c>
      <c r="C123" s="13" t="str">
        <f aca="false">IF($A123="","",IFERROR(INDEX('Loans (reference)'!$K$2:$K$500,MATCH($A123,'Loans (reference)'!$A$2:$A$500,0)),""))</f>
        <v/>
      </c>
      <c r="D123" s="14"/>
      <c r="E123" s="15"/>
      <c r="F123" s="16"/>
      <c r="G123" s="16"/>
      <c r="H123" s="16"/>
      <c r="I123" s="16"/>
      <c r="J123" s="17" t="str">
        <f aca="false">IF(COUNT($F123:$H123)=0,"",SUM($F123:$H123))</f>
        <v/>
      </c>
      <c r="K123" s="14"/>
      <c r="L123" s="14"/>
      <c r="M123" s="14"/>
      <c r="N123" s="13" t="str">
        <f aca="false">IF(COUNTA($A123,$D123:$I123,$K123:$M123)=0,"",IF($A123="","Add Loan UID",IF(ISNA(MATCH($A123,'Loans (reference)'!$A$2:$A$500,0)),"UID not in Loans tab",IF($D123="","Add payment no.",IF(COUNTIFS($A$2:$A$300,$A123,$D$2:$D$300,$D123)&gt;1,"Duplicate payment no.",IF($E123="","Add payment date",IF(COUNT($F123:$H123)=0,"Add an amount","Ready")))))))</f>
        <v/>
      </c>
      <c r="O123" s="18"/>
      <c r="P123" s="19"/>
    </row>
    <row r="124" customFormat="false" ht="15" hidden="false" customHeight="false" outlineLevel="0" collapsed="false">
      <c r="A124" s="12"/>
      <c r="B124" s="13" t="str">
        <f aca="false">IF($A124="","",IFERROR(INDEX('Loans (reference)'!$B$2:$B$500,MATCH($A124,'Loans (reference)'!$A$2:$A$500,0)),"not found"))</f>
        <v/>
      </c>
      <c r="C124" s="13" t="str">
        <f aca="false">IF($A124="","",IFERROR(INDEX('Loans (reference)'!$K$2:$K$500,MATCH($A124,'Loans (reference)'!$A$2:$A$500,0)),""))</f>
        <v/>
      </c>
      <c r="D124" s="14"/>
      <c r="E124" s="15"/>
      <c r="F124" s="16"/>
      <c r="G124" s="16"/>
      <c r="H124" s="16"/>
      <c r="I124" s="16"/>
      <c r="J124" s="17" t="str">
        <f aca="false">IF(COUNT($F124:$H124)=0,"",SUM($F124:$H124))</f>
        <v/>
      </c>
      <c r="K124" s="14"/>
      <c r="L124" s="14"/>
      <c r="M124" s="14"/>
      <c r="N124" s="13" t="str">
        <f aca="false">IF(COUNTA($A124,$D124:$I124,$K124:$M124)=0,"",IF($A124="","Add Loan UID",IF(ISNA(MATCH($A124,'Loans (reference)'!$A$2:$A$500,0)),"UID not in Loans tab",IF($D124="","Add payment no.",IF(COUNTIFS($A$2:$A$300,$A124,$D$2:$D$300,$D124)&gt;1,"Duplicate payment no.",IF($E124="","Add payment date",IF(COUNT($F124:$H124)=0,"Add an amount","Ready")))))))</f>
        <v/>
      </c>
      <c r="O124" s="18"/>
      <c r="P124" s="19"/>
    </row>
    <row r="125" customFormat="false" ht="15" hidden="false" customHeight="false" outlineLevel="0" collapsed="false">
      <c r="A125" s="12"/>
      <c r="B125" s="13" t="str">
        <f aca="false">IF($A125="","",IFERROR(INDEX('Loans (reference)'!$B$2:$B$500,MATCH($A125,'Loans (reference)'!$A$2:$A$500,0)),"not found"))</f>
        <v/>
      </c>
      <c r="C125" s="13" t="str">
        <f aca="false">IF($A125="","",IFERROR(INDEX('Loans (reference)'!$K$2:$K$500,MATCH($A125,'Loans (reference)'!$A$2:$A$500,0)),""))</f>
        <v/>
      </c>
      <c r="D125" s="14"/>
      <c r="E125" s="15"/>
      <c r="F125" s="16"/>
      <c r="G125" s="16"/>
      <c r="H125" s="16"/>
      <c r="I125" s="16"/>
      <c r="J125" s="17" t="str">
        <f aca="false">IF(COUNT($F125:$H125)=0,"",SUM($F125:$H125))</f>
        <v/>
      </c>
      <c r="K125" s="14"/>
      <c r="L125" s="14"/>
      <c r="M125" s="14"/>
      <c r="N125" s="13" t="str">
        <f aca="false">IF(COUNTA($A125,$D125:$I125,$K125:$M125)=0,"",IF($A125="","Add Loan UID",IF(ISNA(MATCH($A125,'Loans (reference)'!$A$2:$A$500,0)),"UID not in Loans tab",IF($D125="","Add payment no.",IF(COUNTIFS($A$2:$A$300,$A125,$D$2:$D$300,$D125)&gt;1,"Duplicate payment no.",IF($E125="","Add payment date",IF(COUNT($F125:$H125)=0,"Add an amount","Ready")))))))</f>
        <v/>
      </c>
      <c r="O125" s="18"/>
      <c r="P125" s="19"/>
    </row>
    <row r="126" customFormat="false" ht="15" hidden="false" customHeight="false" outlineLevel="0" collapsed="false">
      <c r="A126" s="12"/>
      <c r="B126" s="13" t="str">
        <f aca="false">IF($A126="","",IFERROR(INDEX('Loans (reference)'!$B$2:$B$500,MATCH($A126,'Loans (reference)'!$A$2:$A$500,0)),"not found"))</f>
        <v/>
      </c>
      <c r="C126" s="13" t="str">
        <f aca="false">IF($A126="","",IFERROR(INDEX('Loans (reference)'!$K$2:$K$500,MATCH($A126,'Loans (reference)'!$A$2:$A$500,0)),""))</f>
        <v/>
      </c>
      <c r="D126" s="14"/>
      <c r="E126" s="15"/>
      <c r="F126" s="16"/>
      <c r="G126" s="16"/>
      <c r="H126" s="16"/>
      <c r="I126" s="16"/>
      <c r="J126" s="17" t="str">
        <f aca="false">IF(COUNT($F126:$H126)=0,"",SUM($F126:$H126))</f>
        <v/>
      </c>
      <c r="K126" s="14"/>
      <c r="L126" s="14"/>
      <c r="M126" s="14"/>
      <c r="N126" s="13" t="str">
        <f aca="false">IF(COUNTA($A126,$D126:$I126,$K126:$M126)=0,"",IF($A126="","Add Loan UID",IF(ISNA(MATCH($A126,'Loans (reference)'!$A$2:$A$500,0)),"UID not in Loans tab",IF($D126="","Add payment no.",IF(COUNTIFS($A$2:$A$300,$A126,$D$2:$D$300,$D126)&gt;1,"Duplicate payment no.",IF($E126="","Add payment date",IF(COUNT($F126:$H126)=0,"Add an amount","Ready")))))))</f>
        <v/>
      </c>
      <c r="O126" s="18"/>
      <c r="P126" s="19"/>
    </row>
    <row r="127" customFormat="false" ht="15" hidden="false" customHeight="false" outlineLevel="0" collapsed="false">
      <c r="A127" s="12"/>
      <c r="B127" s="13" t="str">
        <f aca="false">IF($A127="","",IFERROR(INDEX('Loans (reference)'!$B$2:$B$500,MATCH($A127,'Loans (reference)'!$A$2:$A$500,0)),"not found"))</f>
        <v/>
      </c>
      <c r="C127" s="13" t="str">
        <f aca="false">IF($A127="","",IFERROR(INDEX('Loans (reference)'!$K$2:$K$500,MATCH($A127,'Loans (reference)'!$A$2:$A$500,0)),""))</f>
        <v/>
      </c>
      <c r="D127" s="14"/>
      <c r="E127" s="15"/>
      <c r="F127" s="16"/>
      <c r="G127" s="16"/>
      <c r="H127" s="16"/>
      <c r="I127" s="16"/>
      <c r="J127" s="17" t="str">
        <f aca="false">IF(COUNT($F127:$H127)=0,"",SUM($F127:$H127))</f>
        <v/>
      </c>
      <c r="K127" s="14"/>
      <c r="L127" s="14"/>
      <c r="M127" s="14"/>
      <c r="N127" s="13" t="str">
        <f aca="false">IF(COUNTA($A127,$D127:$I127,$K127:$M127)=0,"",IF($A127="","Add Loan UID",IF(ISNA(MATCH($A127,'Loans (reference)'!$A$2:$A$500,0)),"UID not in Loans tab",IF($D127="","Add payment no.",IF(COUNTIFS($A$2:$A$300,$A127,$D$2:$D$300,$D127)&gt;1,"Duplicate payment no.",IF($E127="","Add payment date",IF(COUNT($F127:$H127)=0,"Add an amount","Ready")))))))</f>
        <v/>
      </c>
      <c r="O127" s="18"/>
      <c r="P127" s="19"/>
    </row>
    <row r="128" customFormat="false" ht="15" hidden="false" customHeight="false" outlineLevel="0" collapsed="false">
      <c r="A128" s="12"/>
      <c r="B128" s="13" t="str">
        <f aca="false">IF($A128="","",IFERROR(INDEX('Loans (reference)'!$B$2:$B$500,MATCH($A128,'Loans (reference)'!$A$2:$A$500,0)),"not found"))</f>
        <v/>
      </c>
      <c r="C128" s="13" t="str">
        <f aca="false">IF($A128="","",IFERROR(INDEX('Loans (reference)'!$K$2:$K$500,MATCH($A128,'Loans (reference)'!$A$2:$A$500,0)),""))</f>
        <v/>
      </c>
      <c r="D128" s="14"/>
      <c r="E128" s="15"/>
      <c r="F128" s="16"/>
      <c r="G128" s="16"/>
      <c r="H128" s="16"/>
      <c r="I128" s="16"/>
      <c r="J128" s="17" t="str">
        <f aca="false">IF(COUNT($F128:$H128)=0,"",SUM($F128:$H128))</f>
        <v/>
      </c>
      <c r="K128" s="14"/>
      <c r="L128" s="14"/>
      <c r="M128" s="14"/>
      <c r="N128" s="13" t="str">
        <f aca="false">IF(COUNTA($A128,$D128:$I128,$K128:$M128)=0,"",IF($A128="","Add Loan UID",IF(ISNA(MATCH($A128,'Loans (reference)'!$A$2:$A$500,0)),"UID not in Loans tab",IF($D128="","Add payment no.",IF(COUNTIFS($A$2:$A$300,$A128,$D$2:$D$300,$D128)&gt;1,"Duplicate payment no.",IF($E128="","Add payment date",IF(COUNT($F128:$H128)=0,"Add an amount","Ready")))))))</f>
        <v/>
      </c>
      <c r="O128" s="18"/>
      <c r="P128" s="19"/>
    </row>
    <row r="129" customFormat="false" ht="15" hidden="false" customHeight="false" outlineLevel="0" collapsed="false">
      <c r="A129" s="12"/>
      <c r="B129" s="13" t="str">
        <f aca="false">IF($A129="","",IFERROR(INDEX('Loans (reference)'!$B$2:$B$500,MATCH($A129,'Loans (reference)'!$A$2:$A$500,0)),"not found"))</f>
        <v/>
      </c>
      <c r="C129" s="13" t="str">
        <f aca="false">IF($A129="","",IFERROR(INDEX('Loans (reference)'!$K$2:$K$500,MATCH($A129,'Loans (reference)'!$A$2:$A$500,0)),""))</f>
        <v/>
      </c>
      <c r="D129" s="14"/>
      <c r="E129" s="15"/>
      <c r="F129" s="16"/>
      <c r="G129" s="16"/>
      <c r="H129" s="16"/>
      <c r="I129" s="16"/>
      <c r="J129" s="17" t="str">
        <f aca="false">IF(COUNT($F129:$H129)=0,"",SUM($F129:$H129))</f>
        <v/>
      </c>
      <c r="K129" s="14"/>
      <c r="L129" s="14"/>
      <c r="M129" s="14"/>
      <c r="N129" s="13" t="str">
        <f aca="false">IF(COUNTA($A129,$D129:$I129,$K129:$M129)=0,"",IF($A129="","Add Loan UID",IF(ISNA(MATCH($A129,'Loans (reference)'!$A$2:$A$500,0)),"UID not in Loans tab",IF($D129="","Add payment no.",IF(COUNTIFS($A$2:$A$300,$A129,$D$2:$D$300,$D129)&gt;1,"Duplicate payment no.",IF($E129="","Add payment date",IF(COUNT($F129:$H129)=0,"Add an amount","Ready")))))))</f>
        <v/>
      </c>
      <c r="O129" s="18"/>
      <c r="P129" s="19"/>
    </row>
    <row r="130" customFormat="false" ht="15" hidden="false" customHeight="false" outlineLevel="0" collapsed="false">
      <c r="A130" s="12"/>
      <c r="B130" s="13" t="str">
        <f aca="false">IF($A130="","",IFERROR(INDEX('Loans (reference)'!$B$2:$B$500,MATCH($A130,'Loans (reference)'!$A$2:$A$500,0)),"not found"))</f>
        <v/>
      </c>
      <c r="C130" s="13" t="str">
        <f aca="false">IF($A130="","",IFERROR(INDEX('Loans (reference)'!$K$2:$K$500,MATCH($A130,'Loans (reference)'!$A$2:$A$500,0)),""))</f>
        <v/>
      </c>
      <c r="D130" s="14"/>
      <c r="E130" s="15"/>
      <c r="F130" s="16"/>
      <c r="G130" s="16"/>
      <c r="H130" s="16"/>
      <c r="I130" s="16"/>
      <c r="J130" s="17" t="str">
        <f aca="false">IF(COUNT($F130:$H130)=0,"",SUM($F130:$H130))</f>
        <v/>
      </c>
      <c r="K130" s="14"/>
      <c r="L130" s="14"/>
      <c r="M130" s="14"/>
      <c r="N130" s="13" t="str">
        <f aca="false">IF(COUNTA($A130,$D130:$I130,$K130:$M130)=0,"",IF($A130="","Add Loan UID",IF(ISNA(MATCH($A130,'Loans (reference)'!$A$2:$A$500,0)),"UID not in Loans tab",IF($D130="","Add payment no.",IF(COUNTIFS($A$2:$A$300,$A130,$D$2:$D$300,$D130)&gt;1,"Duplicate payment no.",IF($E130="","Add payment date",IF(COUNT($F130:$H130)=0,"Add an amount","Ready")))))))</f>
        <v/>
      </c>
      <c r="O130" s="18"/>
      <c r="P130" s="19"/>
    </row>
    <row r="131" customFormat="false" ht="15" hidden="false" customHeight="false" outlineLevel="0" collapsed="false">
      <c r="A131" s="12"/>
      <c r="B131" s="13" t="str">
        <f aca="false">IF($A131="","",IFERROR(INDEX('Loans (reference)'!$B$2:$B$500,MATCH($A131,'Loans (reference)'!$A$2:$A$500,0)),"not found"))</f>
        <v/>
      </c>
      <c r="C131" s="13" t="str">
        <f aca="false">IF($A131="","",IFERROR(INDEX('Loans (reference)'!$K$2:$K$500,MATCH($A131,'Loans (reference)'!$A$2:$A$500,0)),""))</f>
        <v/>
      </c>
      <c r="D131" s="14"/>
      <c r="E131" s="15"/>
      <c r="F131" s="16"/>
      <c r="G131" s="16"/>
      <c r="H131" s="16"/>
      <c r="I131" s="16"/>
      <c r="J131" s="17" t="str">
        <f aca="false">IF(COUNT($F131:$H131)=0,"",SUM($F131:$H131))</f>
        <v/>
      </c>
      <c r="K131" s="14"/>
      <c r="L131" s="14"/>
      <c r="M131" s="14"/>
      <c r="N131" s="13" t="str">
        <f aca="false">IF(COUNTA($A131,$D131:$I131,$K131:$M131)=0,"",IF($A131="","Add Loan UID",IF(ISNA(MATCH($A131,'Loans (reference)'!$A$2:$A$500,0)),"UID not in Loans tab",IF($D131="","Add payment no.",IF(COUNTIFS($A$2:$A$300,$A131,$D$2:$D$300,$D131)&gt;1,"Duplicate payment no.",IF($E131="","Add payment date",IF(COUNT($F131:$H131)=0,"Add an amount","Ready")))))))</f>
        <v/>
      </c>
      <c r="O131" s="18"/>
      <c r="P131" s="19"/>
    </row>
    <row r="132" customFormat="false" ht="15" hidden="false" customHeight="false" outlineLevel="0" collapsed="false">
      <c r="A132" s="12"/>
      <c r="B132" s="13" t="str">
        <f aca="false">IF($A132="","",IFERROR(INDEX('Loans (reference)'!$B$2:$B$500,MATCH($A132,'Loans (reference)'!$A$2:$A$500,0)),"not found"))</f>
        <v/>
      </c>
      <c r="C132" s="13" t="str">
        <f aca="false">IF($A132="","",IFERROR(INDEX('Loans (reference)'!$K$2:$K$500,MATCH($A132,'Loans (reference)'!$A$2:$A$500,0)),""))</f>
        <v/>
      </c>
      <c r="D132" s="14"/>
      <c r="E132" s="15"/>
      <c r="F132" s="16"/>
      <c r="G132" s="16"/>
      <c r="H132" s="16"/>
      <c r="I132" s="16"/>
      <c r="J132" s="17" t="str">
        <f aca="false">IF(COUNT($F132:$H132)=0,"",SUM($F132:$H132))</f>
        <v/>
      </c>
      <c r="K132" s="14"/>
      <c r="L132" s="14"/>
      <c r="M132" s="14"/>
      <c r="N132" s="13" t="str">
        <f aca="false">IF(COUNTA($A132,$D132:$I132,$K132:$M132)=0,"",IF($A132="","Add Loan UID",IF(ISNA(MATCH($A132,'Loans (reference)'!$A$2:$A$500,0)),"UID not in Loans tab",IF($D132="","Add payment no.",IF(COUNTIFS($A$2:$A$300,$A132,$D$2:$D$300,$D132)&gt;1,"Duplicate payment no.",IF($E132="","Add payment date",IF(COUNT($F132:$H132)=0,"Add an amount","Ready")))))))</f>
        <v/>
      </c>
      <c r="O132" s="18"/>
      <c r="P132" s="19"/>
    </row>
    <row r="133" customFormat="false" ht="15" hidden="false" customHeight="false" outlineLevel="0" collapsed="false">
      <c r="A133" s="12"/>
      <c r="B133" s="13" t="str">
        <f aca="false">IF($A133="","",IFERROR(INDEX('Loans (reference)'!$B$2:$B$500,MATCH($A133,'Loans (reference)'!$A$2:$A$500,0)),"not found"))</f>
        <v/>
      </c>
      <c r="C133" s="13" t="str">
        <f aca="false">IF($A133="","",IFERROR(INDEX('Loans (reference)'!$K$2:$K$500,MATCH($A133,'Loans (reference)'!$A$2:$A$500,0)),""))</f>
        <v/>
      </c>
      <c r="D133" s="14"/>
      <c r="E133" s="15"/>
      <c r="F133" s="16"/>
      <c r="G133" s="16"/>
      <c r="H133" s="16"/>
      <c r="I133" s="16"/>
      <c r="J133" s="17" t="str">
        <f aca="false">IF(COUNT($F133:$H133)=0,"",SUM($F133:$H133))</f>
        <v/>
      </c>
      <c r="K133" s="14"/>
      <c r="L133" s="14"/>
      <c r="M133" s="14"/>
      <c r="N133" s="13" t="str">
        <f aca="false">IF(COUNTA($A133,$D133:$I133,$K133:$M133)=0,"",IF($A133="","Add Loan UID",IF(ISNA(MATCH($A133,'Loans (reference)'!$A$2:$A$500,0)),"UID not in Loans tab",IF($D133="","Add payment no.",IF(COUNTIFS($A$2:$A$300,$A133,$D$2:$D$300,$D133)&gt;1,"Duplicate payment no.",IF($E133="","Add payment date",IF(COUNT($F133:$H133)=0,"Add an amount","Ready")))))))</f>
        <v/>
      </c>
      <c r="O133" s="18"/>
      <c r="P133" s="19"/>
    </row>
    <row r="134" customFormat="false" ht="15" hidden="false" customHeight="false" outlineLevel="0" collapsed="false">
      <c r="A134" s="12"/>
      <c r="B134" s="13" t="str">
        <f aca="false">IF($A134="","",IFERROR(INDEX('Loans (reference)'!$B$2:$B$500,MATCH($A134,'Loans (reference)'!$A$2:$A$500,0)),"not found"))</f>
        <v/>
      </c>
      <c r="C134" s="13" t="str">
        <f aca="false">IF($A134="","",IFERROR(INDEX('Loans (reference)'!$K$2:$K$500,MATCH($A134,'Loans (reference)'!$A$2:$A$500,0)),""))</f>
        <v/>
      </c>
      <c r="D134" s="14"/>
      <c r="E134" s="15"/>
      <c r="F134" s="16"/>
      <c r="G134" s="16"/>
      <c r="H134" s="16"/>
      <c r="I134" s="16"/>
      <c r="J134" s="17" t="str">
        <f aca="false">IF(COUNT($F134:$H134)=0,"",SUM($F134:$H134))</f>
        <v/>
      </c>
      <c r="K134" s="14"/>
      <c r="L134" s="14"/>
      <c r="M134" s="14"/>
      <c r="N134" s="13" t="str">
        <f aca="false">IF(COUNTA($A134,$D134:$I134,$K134:$M134)=0,"",IF($A134="","Add Loan UID",IF(ISNA(MATCH($A134,'Loans (reference)'!$A$2:$A$500,0)),"UID not in Loans tab",IF($D134="","Add payment no.",IF(COUNTIFS($A$2:$A$300,$A134,$D$2:$D$300,$D134)&gt;1,"Duplicate payment no.",IF($E134="","Add payment date",IF(COUNT($F134:$H134)=0,"Add an amount","Ready")))))))</f>
        <v/>
      </c>
      <c r="O134" s="18"/>
      <c r="P134" s="19"/>
    </row>
    <row r="135" customFormat="false" ht="15" hidden="false" customHeight="false" outlineLevel="0" collapsed="false">
      <c r="A135" s="12"/>
      <c r="B135" s="13" t="str">
        <f aca="false">IF($A135="","",IFERROR(INDEX('Loans (reference)'!$B$2:$B$500,MATCH($A135,'Loans (reference)'!$A$2:$A$500,0)),"not found"))</f>
        <v/>
      </c>
      <c r="C135" s="13" t="str">
        <f aca="false">IF($A135="","",IFERROR(INDEX('Loans (reference)'!$K$2:$K$500,MATCH($A135,'Loans (reference)'!$A$2:$A$500,0)),""))</f>
        <v/>
      </c>
      <c r="D135" s="14"/>
      <c r="E135" s="15"/>
      <c r="F135" s="16"/>
      <c r="G135" s="16"/>
      <c r="H135" s="16"/>
      <c r="I135" s="16"/>
      <c r="J135" s="17" t="str">
        <f aca="false">IF(COUNT($F135:$H135)=0,"",SUM($F135:$H135))</f>
        <v/>
      </c>
      <c r="K135" s="14"/>
      <c r="L135" s="14"/>
      <c r="M135" s="14"/>
      <c r="N135" s="13" t="str">
        <f aca="false">IF(COUNTA($A135,$D135:$I135,$K135:$M135)=0,"",IF($A135="","Add Loan UID",IF(ISNA(MATCH($A135,'Loans (reference)'!$A$2:$A$500,0)),"UID not in Loans tab",IF($D135="","Add payment no.",IF(COUNTIFS($A$2:$A$300,$A135,$D$2:$D$300,$D135)&gt;1,"Duplicate payment no.",IF($E135="","Add payment date",IF(COUNT($F135:$H135)=0,"Add an amount","Ready")))))))</f>
        <v/>
      </c>
      <c r="O135" s="18"/>
      <c r="P135" s="19"/>
    </row>
    <row r="136" customFormat="false" ht="15" hidden="false" customHeight="false" outlineLevel="0" collapsed="false">
      <c r="A136" s="12"/>
      <c r="B136" s="13" t="str">
        <f aca="false">IF($A136="","",IFERROR(INDEX('Loans (reference)'!$B$2:$B$500,MATCH($A136,'Loans (reference)'!$A$2:$A$500,0)),"not found"))</f>
        <v/>
      </c>
      <c r="C136" s="13" t="str">
        <f aca="false">IF($A136="","",IFERROR(INDEX('Loans (reference)'!$K$2:$K$500,MATCH($A136,'Loans (reference)'!$A$2:$A$500,0)),""))</f>
        <v/>
      </c>
      <c r="D136" s="14"/>
      <c r="E136" s="15"/>
      <c r="F136" s="16"/>
      <c r="G136" s="16"/>
      <c r="H136" s="16"/>
      <c r="I136" s="16"/>
      <c r="J136" s="17" t="str">
        <f aca="false">IF(COUNT($F136:$H136)=0,"",SUM($F136:$H136))</f>
        <v/>
      </c>
      <c r="K136" s="14"/>
      <c r="L136" s="14"/>
      <c r="M136" s="14"/>
      <c r="N136" s="13" t="str">
        <f aca="false">IF(COUNTA($A136,$D136:$I136,$K136:$M136)=0,"",IF($A136="","Add Loan UID",IF(ISNA(MATCH($A136,'Loans (reference)'!$A$2:$A$500,0)),"UID not in Loans tab",IF($D136="","Add payment no.",IF(COUNTIFS($A$2:$A$300,$A136,$D$2:$D$300,$D136)&gt;1,"Duplicate payment no.",IF($E136="","Add payment date",IF(COUNT($F136:$H136)=0,"Add an amount","Ready")))))))</f>
        <v/>
      </c>
      <c r="O136" s="18"/>
      <c r="P136" s="19"/>
    </row>
    <row r="137" customFormat="false" ht="15" hidden="false" customHeight="false" outlineLevel="0" collapsed="false">
      <c r="A137" s="12"/>
      <c r="B137" s="13" t="str">
        <f aca="false">IF($A137="","",IFERROR(INDEX('Loans (reference)'!$B$2:$B$500,MATCH($A137,'Loans (reference)'!$A$2:$A$500,0)),"not found"))</f>
        <v/>
      </c>
      <c r="C137" s="13" t="str">
        <f aca="false">IF($A137="","",IFERROR(INDEX('Loans (reference)'!$K$2:$K$500,MATCH($A137,'Loans (reference)'!$A$2:$A$500,0)),""))</f>
        <v/>
      </c>
      <c r="D137" s="14"/>
      <c r="E137" s="15"/>
      <c r="F137" s="16"/>
      <c r="G137" s="16"/>
      <c r="H137" s="16"/>
      <c r="I137" s="16"/>
      <c r="J137" s="17" t="str">
        <f aca="false">IF(COUNT($F137:$H137)=0,"",SUM($F137:$H137))</f>
        <v/>
      </c>
      <c r="K137" s="14"/>
      <c r="L137" s="14"/>
      <c r="M137" s="14"/>
      <c r="N137" s="13" t="str">
        <f aca="false">IF(COUNTA($A137,$D137:$I137,$K137:$M137)=0,"",IF($A137="","Add Loan UID",IF(ISNA(MATCH($A137,'Loans (reference)'!$A$2:$A$500,0)),"UID not in Loans tab",IF($D137="","Add payment no.",IF(COUNTIFS($A$2:$A$300,$A137,$D$2:$D$300,$D137)&gt;1,"Duplicate payment no.",IF($E137="","Add payment date",IF(COUNT($F137:$H137)=0,"Add an amount","Ready")))))))</f>
        <v/>
      </c>
      <c r="O137" s="18"/>
      <c r="P137" s="19"/>
    </row>
    <row r="138" customFormat="false" ht="15" hidden="false" customHeight="false" outlineLevel="0" collapsed="false">
      <c r="A138" s="12"/>
      <c r="B138" s="13" t="str">
        <f aca="false">IF($A138="","",IFERROR(INDEX('Loans (reference)'!$B$2:$B$500,MATCH($A138,'Loans (reference)'!$A$2:$A$500,0)),"not found"))</f>
        <v/>
      </c>
      <c r="C138" s="13" t="str">
        <f aca="false">IF($A138="","",IFERROR(INDEX('Loans (reference)'!$K$2:$K$500,MATCH($A138,'Loans (reference)'!$A$2:$A$500,0)),""))</f>
        <v/>
      </c>
      <c r="D138" s="14"/>
      <c r="E138" s="15"/>
      <c r="F138" s="16"/>
      <c r="G138" s="16"/>
      <c r="H138" s="16"/>
      <c r="I138" s="16"/>
      <c r="J138" s="17" t="str">
        <f aca="false">IF(COUNT($F138:$H138)=0,"",SUM($F138:$H138))</f>
        <v/>
      </c>
      <c r="K138" s="14"/>
      <c r="L138" s="14"/>
      <c r="M138" s="14"/>
      <c r="N138" s="13" t="str">
        <f aca="false">IF(COUNTA($A138,$D138:$I138,$K138:$M138)=0,"",IF($A138="","Add Loan UID",IF(ISNA(MATCH($A138,'Loans (reference)'!$A$2:$A$500,0)),"UID not in Loans tab",IF($D138="","Add payment no.",IF(COUNTIFS($A$2:$A$300,$A138,$D$2:$D$300,$D138)&gt;1,"Duplicate payment no.",IF($E138="","Add payment date",IF(COUNT($F138:$H138)=0,"Add an amount","Ready")))))))</f>
        <v/>
      </c>
      <c r="O138" s="18"/>
      <c r="P138" s="19"/>
    </row>
    <row r="139" customFormat="false" ht="15" hidden="false" customHeight="false" outlineLevel="0" collapsed="false">
      <c r="A139" s="12"/>
      <c r="B139" s="13" t="str">
        <f aca="false">IF($A139="","",IFERROR(INDEX('Loans (reference)'!$B$2:$B$500,MATCH($A139,'Loans (reference)'!$A$2:$A$500,0)),"not found"))</f>
        <v/>
      </c>
      <c r="C139" s="13" t="str">
        <f aca="false">IF($A139="","",IFERROR(INDEX('Loans (reference)'!$K$2:$K$500,MATCH($A139,'Loans (reference)'!$A$2:$A$500,0)),""))</f>
        <v/>
      </c>
      <c r="D139" s="14"/>
      <c r="E139" s="15"/>
      <c r="F139" s="16"/>
      <c r="G139" s="16"/>
      <c r="H139" s="16"/>
      <c r="I139" s="16"/>
      <c r="J139" s="17" t="str">
        <f aca="false">IF(COUNT($F139:$H139)=0,"",SUM($F139:$H139))</f>
        <v/>
      </c>
      <c r="K139" s="14"/>
      <c r="L139" s="14"/>
      <c r="M139" s="14"/>
      <c r="N139" s="13" t="str">
        <f aca="false">IF(COUNTA($A139,$D139:$I139,$K139:$M139)=0,"",IF($A139="","Add Loan UID",IF(ISNA(MATCH($A139,'Loans (reference)'!$A$2:$A$500,0)),"UID not in Loans tab",IF($D139="","Add payment no.",IF(COUNTIFS($A$2:$A$300,$A139,$D$2:$D$300,$D139)&gt;1,"Duplicate payment no.",IF($E139="","Add payment date",IF(COUNT($F139:$H139)=0,"Add an amount","Ready")))))))</f>
        <v/>
      </c>
      <c r="O139" s="18"/>
      <c r="P139" s="19"/>
    </row>
    <row r="140" customFormat="false" ht="15" hidden="false" customHeight="false" outlineLevel="0" collapsed="false">
      <c r="A140" s="12"/>
      <c r="B140" s="13" t="str">
        <f aca="false">IF($A140="","",IFERROR(INDEX('Loans (reference)'!$B$2:$B$500,MATCH($A140,'Loans (reference)'!$A$2:$A$500,0)),"not found"))</f>
        <v/>
      </c>
      <c r="C140" s="13" t="str">
        <f aca="false">IF($A140="","",IFERROR(INDEX('Loans (reference)'!$K$2:$K$500,MATCH($A140,'Loans (reference)'!$A$2:$A$500,0)),""))</f>
        <v/>
      </c>
      <c r="D140" s="14"/>
      <c r="E140" s="15"/>
      <c r="F140" s="16"/>
      <c r="G140" s="16"/>
      <c r="H140" s="16"/>
      <c r="I140" s="16"/>
      <c r="J140" s="17" t="str">
        <f aca="false">IF(COUNT($F140:$H140)=0,"",SUM($F140:$H140))</f>
        <v/>
      </c>
      <c r="K140" s="14"/>
      <c r="L140" s="14"/>
      <c r="M140" s="14"/>
      <c r="N140" s="13" t="str">
        <f aca="false">IF(COUNTA($A140,$D140:$I140,$K140:$M140)=0,"",IF($A140="","Add Loan UID",IF(ISNA(MATCH($A140,'Loans (reference)'!$A$2:$A$500,0)),"UID not in Loans tab",IF($D140="","Add payment no.",IF(COUNTIFS($A$2:$A$300,$A140,$D$2:$D$300,$D140)&gt;1,"Duplicate payment no.",IF($E140="","Add payment date",IF(COUNT($F140:$H140)=0,"Add an amount","Ready")))))))</f>
        <v/>
      </c>
      <c r="O140" s="18"/>
      <c r="P140" s="19"/>
    </row>
    <row r="141" customFormat="false" ht="15" hidden="false" customHeight="false" outlineLevel="0" collapsed="false">
      <c r="A141" s="12"/>
      <c r="B141" s="13" t="str">
        <f aca="false">IF($A141="","",IFERROR(INDEX('Loans (reference)'!$B$2:$B$500,MATCH($A141,'Loans (reference)'!$A$2:$A$500,0)),"not found"))</f>
        <v/>
      </c>
      <c r="C141" s="13" t="str">
        <f aca="false">IF($A141="","",IFERROR(INDEX('Loans (reference)'!$K$2:$K$500,MATCH($A141,'Loans (reference)'!$A$2:$A$500,0)),""))</f>
        <v/>
      </c>
      <c r="D141" s="14"/>
      <c r="E141" s="15"/>
      <c r="F141" s="16"/>
      <c r="G141" s="16"/>
      <c r="H141" s="16"/>
      <c r="I141" s="16"/>
      <c r="J141" s="17" t="str">
        <f aca="false">IF(COUNT($F141:$H141)=0,"",SUM($F141:$H141))</f>
        <v/>
      </c>
      <c r="K141" s="14"/>
      <c r="L141" s="14"/>
      <c r="M141" s="14"/>
      <c r="N141" s="13" t="str">
        <f aca="false">IF(COUNTA($A141,$D141:$I141,$K141:$M141)=0,"",IF($A141="","Add Loan UID",IF(ISNA(MATCH($A141,'Loans (reference)'!$A$2:$A$500,0)),"UID not in Loans tab",IF($D141="","Add payment no.",IF(COUNTIFS($A$2:$A$300,$A141,$D$2:$D$300,$D141)&gt;1,"Duplicate payment no.",IF($E141="","Add payment date",IF(COUNT($F141:$H141)=0,"Add an amount","Ready")))))))</f>
        <v/>
      </c>
      <c r="O141" s="18"/>
      <c r="P141" s="19"/>
    </row>
    <row r="142" customFormat="false" ht="15" hidden="false" customHeight="false" outlineLevel="0" collapsed="false">
      <c r="A142" s="12"/>
      <c r="B142" s="13" t="str">
        <f aca="false">IF($A142="","",IFERROR(INDEX('Loans (reference)'!$B$2:$B$500,MATCH($A142,'Loans (reference)'!$A$2:$A$500,0)),"not found"))</f>
        <v/>
      </c>
      <c r="C142" s="13" t="str">
        <f aca="false">IF($A142="","",IFERROR(INDEX('Loans (reference)'!$K$2:$K$500,MATCH($A142,'Loans (reference)'!$A$2:$A$500,0)),""))</f>
        <v/>
      </c>
      <c r="D142" s="14"/>
      <c r="E142" s="15"/>
      <c r="F142" s="16"/>
      <c r="G142" s="16"/>
      <c r="H142" s="16"/>
      <c r="I142" s="16"/>
      <c r="J142" s="17" t="str">
        <f aca="false">IF(COUNT($F142:$H142)=0,"",SUM($F142:$H142))</f>
        <v/>
      </c>
      <c r="K142" s="14"/>
      <c r="L142" s="14"/>
      <c r="M142" s="14"/>
      <c r="N142" s="13" t="str">
        <f aca="false">IF(COUNTA($A142,$D142:$I142,$K142:$M142)=0,"",IF($A142="","Add Loan UID",IF(ISNA(MATCH($A142,'Loans (reference)'!$A$2:$A$500,0)),"UID not in Loans tab",IF($D142="","Add payment no.",IF(COUNTIFS($A$2:$A$300,$A142,$D$2:$D$300,$D142)&gt;1,"Duplicate payment no.",IF($E142="","Add payment date",IF(COUNT($F142:$H142)=0,"Add an amount","Ready")))))))</f>
        <v/>
      </c>
      <c r="O142" s="18"/>
      <c r="P142" s="19"/>
    </row>
    <row r="143" customFormat="false" ht="15" hidden="false" customHeight="false" outlineLevel="0" collapsed="false">
      <c r="A143" s="12"/>
      <c r="B143" s="13" t="str">
        <f aca="false">IF($A143="","",IFERROR(INDEX('Loans (reference)'!$B$2:$B$500,MATCH($A143,'Loans (reference)'!$A$2:$A$500,0)),"not found"))</f>
        <v/>
      </c>
      <c r="C143" s="13" t="str">
        <f aca="false">IF($A143="","",IFERROR(INDEX('Loans (reference)'!$K$2:$K$500,MATCH($A143,'Loans (reference)'!$A$2:$A$500,0)),""))</f>
        <v/>
      </c>
      <c r="D143" s="14"/>
      <c r="E143" s="15"/>
      <c r="F143" s="16"/>
      <c r="G143" s="16"/>
      <c r="H143" s="16"/>
      <c r="I143" s="16"/>
      <c r="J143" s="17" t="str">
        <f aca="false">IF(COUNT($F143:$H143)=0,"",SUM($F143:$H143))</f>
        <v/>
      </c>
      <c r="K143" s="14"/>
      <c r="L143" s="14"/>
      <c r="M143" s="14"/>
      <c r="N143" s="13" t="str">
        <f aca="false">IF(COUNTA($A143,$D143:$I143,$K143:$M143)=0,"",IF($A143="","Add Loan UID",IF(ISNA(MATCH($A143,'Loans (reference)'!$A$2:$A$500,0)),"UID not in Loans tab",IF($D143="","Add payment no.",IF(COUNTIFS($A$2:$A$300,$A143,$D$2:$D$300,$D143)&gt;1,"Duplicate payment no.",IF($E143="","Add payment date",IF(COUNT($F143:$H143)=0,"Add an amount","Ready")))))))</f>
        <v/>
      </c>
      <c r="O143" s="18"/>
      <c r="P143" s="19"/>
    </row>
    <row r="144" customFormat="false" ht="15" hidden="false" customHeight="false" outlineLevel="0" collapsed="false">
      <c r="A144" s="12"/>
      <c r="B144" s="13" t="str">
        <f aca="false">IF($A144="","",IFERROR(INDEX('Loans (reference)'!$B$2:$B$500,MATCH($A144,'Loans (reference)'!$A$2:$A$500,0)),"not found"))</f>
        <v/>
      </c>
      <c r="C144" s="13" t="str">
        <f aca="false">IF($A144="","",IFERROR(INDEX('Loans (reference)'!$K$2:$K$500,MATCH($A144,'Loans (reference)'!$A$2:$A$500,0)),""))</f>
        <v/>
      </c>
      <c r="D144" s="14"/>
      <c r="E144" s="15"/>
      <c r="F144" s="16"/>
      <c r="G144" s="16"/>
      <c r="H144" s="16"/>
      <c r="I144" s="16"/>
      <c r="J144" s="17" t="str">
        <f aca="false">IF(COUNT($F144:$H144)=0,"",SUM($F144:$H144))</f>
        <v/>
      </c>
      <c r="K144" s="14"/>
      <c r="L144" s="14"/>
      <c r="M144" s="14"/>
      <c r="N144" s="13" t="str">
        <f aca="false">IF(COUNTA($A144,$D144:$I144,$K144:$M144)=0,"",IF($A144="","Add Loan UID",IF(ISNA(MATCH($A144,'Loans (reference)'!$A$2:$A$500,0)),"UID not in Loans tab",IF($D144="","Add payment no.",IF(COUNTIFS($A$2:$A$300,$A144,$D$2:$D$300,$D144)&gt;1,"Duplicate payment no.",IF($E144="","Add payment date",IF(COUNT($F144:$H144)=0,"Add an amount","Ready")))))))</f>
        <v/>
      </c>
      <c r="O144" s="18"/>
      <c r="P144" s="19"/>
    </row>
    <row r="145" customFormat="false" ht="15" hidden="false" customHeight="false" outlineLevel="0" collapsed="false">
      <c r="A145" s="12"/>
      <c r="B145" s="13" t="str">
        <f aca="false">IF($A145="","",IFERROR(INDEX('Loans (reference)'!$B$2:$B$500,MATCH($A145,'Loans (reference)'!$A$2:$A$500,0)),"not found"))</f>
        <v/>
      </c>
      <c r="C145" s="13" t="str">
        <f aca="false">IF($A145="","",IFERROR(INDEX('Loans (reference)'!$K$2:$K$500,MATCH($A145,'Loans (reference)'!$A$2:$A$500,0)),""))</f>
        <v/>
      </c>
      <c r="D145" s="14"/>
      <c r="E145" s="15"/>
      <c r="F145" s="16"/>
      <c r="G145" s="16"/>
      <c r="H145" s="16"/>
      <c r="I145" s="16"/>
      <c r="J145" s="17" t="str">
        <f aca="false">IF(COUNT($F145:$H145)=0,"",SUM($F145:$H145))</f>
        <v/>
      </c>
      <c r="K145" s="14"/>
      <c r="L145" s="14"/>
      <c r="M145" s="14"/>
      <c r="N145" s="13" t="str">
        <f aca="false">IF(COUNTA($A145,$D145:$I145,$K145:$M145)=0,"",IF($A145="","Add Loan UID",IF(ISNA(MATCH($A145,'Loans (reference)'!$A$2:$A$500,0)),"UID not in Loans tab",IF($D145="","Add payment no.",IF(COUNTIFS($A$2:$A$300,$A145,$D$2:$D$300,$D145)&gt;1,"Duplicate payment no.",IF($E145="","Add payment date",IF(COUNT($F145:$H145)=0,"Add an amount","Ready")))))))</f>
        <v/>
      </c>
      <c r="O145" s="18"/>
      <c r="P145" s="19"/>
    </row>
    <row r="146" customFormat="false" ht="15" hidden="false" customHeight="false" outlineLevel="0" collapsed="false">
      <c r="A146" s="12"/>
      <c r="B146" s="13" t="str">
        <f aca="false">IF($A146="","",IFERROR(INDEX('Loans (reference)'!$B$2:$B$500,MATCH($A146,'Loans (reference)'!$A$2:$A$500,0)),"not found"))</f>
        <v/>
      </c>
      <c r="C146" s="13" t="str">
        <f aca="false">IF($A146="","",IFERROR(INDEX('Loans (reference)'!$K$2:$K$500,MATCH($A146,'Loans (reference)'!$A$2:$A$500,0)),""))</f>
        <v/>
      </c>
      <c r="D146" s="14"/>
      <c r="E146" s="15"/>
      <c r="F146" s="16"/>
      <c r="G146" s="16"/>
      <c r="H146" s="16"/>
      <c r="I146" s="16"/>
      <c r="J146" s="17" t="str">
        <f aca="false">IF(COUNT($F146:$H146)=0,"",SUM($F146:$H146))</f>
        <v/>
      </c>
      <c r="K146" s="14"/>
      <c r="L146" s="14"/>
      <c r="M146" s="14"/>
      <c r="N146" s="13" t="str">
        <f aca="false">IF(COUNTA($A146,$D146:$I146,$K146:$M146)=0,"",IF($A146="","Add Loan UID",IF(ISNA(MATCH($A146,'Loans (reference)'!$A$2:$A$500,0)),"UID not in Loans tab",IF($D146="","Add payment no.",IF(COUNTIFS($A$2:$A$300,$A146,$D$2:$D$300,$D146)&gt;1,"Duplicate payment no.",IF($E146="","Add payment date",IF(COUNT($F146:$H146)=0,"Add an amount","Ready")))))))</f>
        <v/>
      </c>
      <c r="O146" s="18"/>
      <c r="P146" s="19"/>
    </row>
    <row r="147" customFormat="false" ht="15" hidden="false" customHeight="false" outlineLevel="0" collapsed="false">
      <c r="A147" s="12"/>
      <c r="B147" s="13" t="str">
        <f aca="false">IF($A147="","",IFERROR(INDEX('Loans (reference)'!$B$2:$B$500,MATCH($A147,'Loans (reference)'!$A$2:$A$500,0)),"not found"))</f>
        <v/>
      </c>
      <c r="C147" s="13" t="str">
        <f aca="false">IF($A147="","",IFERROR(INDEX('Loans (reference)'!$K$2:$K$500,MATCH($A147,'Loans (reference)'!$A$2:$A$500,0)),""))</f>
        <v/>
      </c>
      <c r="D147" s="14"/>
      <c r="E147" s="15"/>
      <c r="F147" s="16"/>
      <c r="G147" s="16"/>
      <c r="H147" s="16"/>
      <c r="I147" s="16"/>
      <c r="J147" s="17" t="str">
        <f aca="false">IF(COUNT($F147:$H147)=0,"",SUM($F147:$H147))</f>
        <v/>
      </c>
      <c r="K147" s="14"/>
      <c r="L147" s="14"/>
      <c r="M147" s="14"/>
      <c r="N147" s="13" t="str">
        <f aca="false">IF(COUNTA($A147,$D147:$I147,$K147:$M147)=0,"",IF($A147="","Add Loan UID",IF(ISNA(MATCH($A147,'Loans (reference)'!$A$2:$A$500,0)),"UID not in Loans tab",IF($D147="","Add payment no.",IF(COUNTIFS($A$2:$A$300,$A147,$D$2:$D$300,$D147)&gt;1,"Duplicate payment no.",IF($E147="","Add payment date",IF(COUNT($F147:$H147)=0,"Add an amount","Ready")))))))</f>
        <v/>
      </c>
      <c r="O147" s="18"/>
      <c r="P147" s="19"/>
    </row>
    <row r="148" customFormat="false" ht="15" hidden="false" customHeight="false" outlineLevel="0" collapsed="false">
      <c r="A148" s="12"/>
      <c r="B148" s="13" t="str">
        <f aca="false">IF($A148="","",IFERROR(INDEX('Loans (reference)'!$B$2:$B$500,MATCH($A148,'Loans (reference)'!$A$2:$A$500,0)),"not found"))</f>
        <v/>
      </c>
      <c r="C148" s="13" t="str">
        <f aca="false">IF($A148="","",IFERROR(INDEX('Loans (reference)'!$K$2:$K$500,MATCH($A148,'Loans (reference)'!$A$2:$A$500,0)),""))</f>
        <v/>
      </c>
      <c r="D148" s="14"/>
      <c r="E148" s="15"/>
      <c r="F148" s="16"/>
      <c r="G148" s="16"/>
      <c r="H148" s="16"/>
      <c r="I148" s="16"/>
      <c r="J148" s="17" t="str">
        <f aca="false">IF(COUNT($F148:$H148)=0,"",SUM($F148:$H148))</f>
        <v/>
      </c>
      <c r="K148" s="14"/>
      <c r="L148" s="14"/>
      <c r="M148" s="14"/>
      <c r="N148" s="13" t="str">
        <f aca="false">IF(COUNTA($A148,$D148:$I148,$K148:$M148)=0,"",IF($A148="","Add Loan UID",IF(ISNA(MATCH($A148,'Loans (reference)'!$A$2:$A$500,0)),"UID not in Loans tab",IF($D148="","Add payment no.",IF(COUNTIFS($A$2:$A$300,$A148,$D$2:$D$300,$D148)&gt;1,"Duplicate payment no.",IF($E148="","Add payment date",IF(COUNT($F148:$H148)=0,"Add an amount","Ready")))))))</f>
        <v/>
      </c>
      <c r="O148" s="18"/>
      <c r="P148" s="19"/>
    </row>
    <row r="149" customFormat="false" ht="15" hidden="false" customHeight="false" outlineLevel="0" collapsed="false">
      <c r="A149" s="12"/>
      <c r="B149" s="13" t="str">
        <f aca="false">IF($A149="","",IFERROR(INDEX('Loans (reference)'!$B$2:$B$500,MATCH($A149,'Loans (reference)'!$A$2:$A$500,0)),"not found"))</f>
        <v/>
      </c>
      <c r="C149" s="13" t="str">
        <f aca="false">IF($A149="","",IFERROR(INDEX('Loans (reference)'!$K$2:$K$500,MATCH($A149,'Loans (reference)'!$A$2:$A$500,0)),""))</f>
        <v/>
      </c>
      <c r="D149" s="14"/>
      <c r="E149" s="15"/>
      <c r="F149" s="16"/>
      <c r="G149" s="16"/>
      <c r="H149" s="16"/>
      <c r="I149" s="16"/>
      <c r="J149" s="17" t="str">
        <f aca="false">IF(COUNT($F149:$H149)=0,"",SUM($F149:$H149))</f>
        <v/>
      </c>
      <c r="K149" s="14"/>
      <c r="L149" s="14"/>
      <c r="M149" s="14"/>
      <c r="N149" s="13" t="str">
        <f aca="false">IF(COUNTA($A149,$D149:$I149,$K149:$M149)=0,"",IF($A149="","Add Loan UID",IF(ISNA(MATCH($A149,'Loans (reference)'!$A$2:$A$500,0)),"UID not in Loans tab",IF($D149="","Add payment no.",IF(COUNTIFS($A$2:$A$300,$A149,$D$2:$D$300,$D149)&gt;1,"Duplicate payment no.",IF($E149="","Add payment date",IF(COUNT($F149:$H149)=0,"Add an amount","Ready")))))))</f>
        <v/>
      </c>
      <c r="O149" s="18"/>
      <c r="P149" s="19"/>
    </row>
    <row r="150" customFormat="false" ht="15" hidden="false" customHeight="false" outlineLevel="0" collapsed="false">
      <c r="A150" s="12"/>
      <c r="B150" s="13" t="str">
        <f aca="false">IF($A150="","",IFERROR(INDEX('Loans (reference)'!$B$2:$B$500,MATCH($A150,'Loans (reference)'!$A$2:$A$500,0)),"not found"))</f>
        <v/>
      </c>
      <c r="C150" s="13" t="str">
        <f aca="false">IF($A150="","",IFERROR(INDEX('Loans (reference)'!$K$2:$K$500,MATCH($A150,'Loans (reference)'!$A$2:$A$500,0)),""))</f>
        <v/>
      </c>
      <c r="D150" s="14"/>
      <c r="E150" s="15"/>
      <c r="F150" s="16"/>
      <c r="G150" s="16"/>
      <c r="H150" s="16"/>
      <c r="I150" s="16"/>
      <c r="J150" s="17" t="str">
        <f aca="false">IF(COUNT($F150:$H150)=0,"",SUM($F150:$H150))</f>
        <v/>
      </c>
      <c r="K150" s="14"/>
      <c r="L150" s="14"/>
      <c r="M150" s="14"/>
      <c r="N150" s="13" t="str">
        <f aca="false">IF(COUNTA($A150,$D150:$I150,$K150:$M150)=0,"",IF($A150="","Add Loan UID",IF(ISNA(MATCH($A150,'Loans (reference)'!$A$2:$A$500,0)),"UID not in Loans tab",IF($D150="","Add payment no.",IF(COUNTIFS($A$2:$A$300,$A150,$D$2:$D$300,$D150)&gt;1,"Duplicate payment no.",IF($E150="","Add payment date",IF(COUNT($F150:$H150)=0,"Add an amount","Ready")))))))</f>
        <v/>
      </c>
      <c r="O150" s="18"/>
      <c r="P150" s="19"/>
    </row>
    <row r="151" customFormat="false" ht="15" hidden="false" customHeight="false" outlineLevel="0" collapsed="false">
      <c r="A151" s="12"/>
      <c r="B151" s="13" t="str">
        <f aca="false">IF($A151="","",IFERROR(INDEX('Loans (reference)'!$B$2:$B$500,MATCH($A151,'Loans (reference)'!$A$2:$A$500,0)),"not found"))</f>
        <v/>
      </c>
      <c r="C151" s="13" t="str">
        <f aca="false">IF($A151="","",IFERROR(INDEX('Loans (reference)'!$K$2:$K$500,MATCH($A151,'Loans (reference)'!$A$2:$A$500,0)),""))</f>
        <v/>
      </c>
      <c r="D151" s="14"/>
      <c r="E151" s="15"/>
      <c r="F151" s="16"/>
      <c r="G151" s="16"/>
      <c r="H151" s="16"/>
      <c r="I151" s="16"/>
      <c r="J151" s="17" t="str">
        <f aca="false">IF(COUNT($F151:$H151)=0,"",SUM($F151:$H151))</f>
        <v/>
      </c>
      <c r="K151" s="14"/>
      <c r="L151" s="14"/>
      <c r="M151" s="14"/>
      <c r="N151" s="13" t="str">
        <f aca="false">IF(COUNTA($A151,$D151:$I151,$K151:$M151)=0,"",IF($A151="","Add Loan UID",IF(ISNA(MATCH($A151,'Loans (reference)'!$A$2:$A$500,0)),"UID not in Loans tab",IF($D151="","Add payment no.",IF(COUNTIFS($A$2:$A$300,$A151,$D$2:$D$300,$D151)&gt;1,"Duplicate payment no.",IF($E151="","Add payment date",IF(COUNT($F151:$H151)=0,"Add an amount","Ready")))))))</f>
        <v/>
      </c>
      <c r="O151" s="18"/>
      <c r="P151" s="19"/>
    </row>
    <row r="152" customFormat="false" ht="15" hidden="false" customHeight="false" outlineLevel="0" collapsed="false">
      <c r="A152" s="12"/>
      <c r="B152" s="13" t="str">
        <f aca="false">IF($A152="","",IFERROR(INDEX('Loans (reference)'!$B$2:$B$500,MATCH($A152,'Loans (reference)'!$A$2:$A$500,0)),"not found"))</f>
        <v/>
      </c>
      <c r="C152" s="13" t="str">
        <f aca="false">IF($A152="","",IFERROR(INDEX('Loans (reference)'!$K$2:$K$500,MATCH($A152,'Loans (reference)'!$A$2:$A$500,0)),""))</f>
        <v/>
      </c>
      <c r="D152" s="14"/>
      <c r="E152" s="15"/>
      <c r="F152" s="16"/>
      <c r="G152" s="16"/>
      <c r="H152" s="16"/>
      <c r="I152" s="16"/>
      <c r="J152" s="17" t="str">
        <f aca="false">IF(COUNT($F152:$H152)=0,"",SUM($F152:$H152))</f>
        <v/>
      </c>
      <c r="K152" s="14"/>
      <c r="L152" s="14"/>
      <c r="M152" s="14"/>
      <c r="N152" s="13" t="str">
        <f aca="false">IF(COUNTA($A152,$D152:$I152,$K152:$M152)=0,"",IF($A152="","Add Loan UID",IF(ISNA(MATCH($A152,'Loans (reference)'!$A$2:$A$500,0)),"UID not in Loans tab",IF($D152="","Add payment no.",IF(COUNTIFS($A$2:$A$300,$A152,$D$2:$D$300,$D152)&gt;1,"Duplicate payment no.",IF($E152="","Add payment date",IF(COUNT($F152:$H152)=0,"Add an amount","Ready")))))))</f>
        <v/>
      </c>
      <c r="O152" s="18"/>
      <c r="P152" s="19"/>
    </row>
    <row r="153" customFormat="false" ht="15" hidden="false" customHeight="false" outlineLevel="0" collapsed="false">
      <c r="A153" s="12"/>
      <c r="B153" s="13" t="str">
        <f aca="false">IF($A153="","",IFERROR(INDEX('Loans (reference)'!$B$2:$B$500,MATCH($A153,'Loans (reference)'!$A$2:$A$500,0)),"not found"))</f>
        <v/>
      </c>
      <c r="C153" s="13" t="str">
        <f aca="false">IF($A153="","",IFERROR(INDEX('Loans (reference)'!$K$2:$K$500,MATCH($A153,'Loans (reference)'!$A$2:$A$500,0)),""))</f>
        <v/>
      </c>
      <c r="D153" s="14"/>
      <c r="E153" s="15"/>
      <c r="F153" s="16"/>
      <c r="G153" s="16"/>
      <c r="H153" s="16"/>
      <c r="I153" s="16"/>
      <c r="J153" s="17" t="str">
        <f aca="false">IF(COUNT($F153:$H153)=0,"",SUM($F153:$H153))</f>
        <v/>
      </c>
      <c r="K153" s="14"/>
      <c r="L153" s="14"/>
      <c r="M153" s="14"/>
      <c r="N153" s="13" t="str">
        <f aca="false">IF(COUNTA($A153,$D153:$I153,$K153:$M153)=0,"",IF($A153="","Add Loan UID",IF(ISNA(MATCH($A153,'Loans (reference)'!$A$2:$A$500,0)),"UID not in Loans tab",IF($D153="","Add payment no.",IF(COUNTIFS($A$2:$A$300,$A153,$D$2:$D$300,$D153)&gt;1,"Duplicate payment no.",IF($E153="","Add payment date",IF(COUNT($F153:$H153)=0,"Add an amount","Ready")))))))</f>
        <v/>
      </c>
      <c r="O153" s="18"/>
      <c r="P153" s="19"/>
    </row>
    <row r="154" customFormat="false" ht="15" hidden="false" customHeight="false" outlineLevel="0" collapsed="false">
      <c r="A154" s="12"/>
      <c r="B154" s="13" t="str">
        <f aca="false">IF($A154="","",IFERROR(INDEX('Loans (reference)'!$B$2:$B$500,MATCH($A154,'Loans (reference)'!$A$2:$A$500,0)),"not found"))</f>
        <v/>
      </c>
      <c r="C154" s="13" t="str">
        <f aca="false">IF($A154="","",IFERROR(INDEX('Loans (reference)'!$K$2:$K$500,MATCH($A154,'Loans (reference)'!$A$2:$A$500,0)),""))</f>
        <v/>
      </c>
      <c r="D154" s="14"/>
      <c r="E154" s="15"/>
      <c r="F154" s="16"/>
      <c r="G154" s="16"/>
      <c r="H154" s="16"/>
      <c r="I154" s="16"/>
      <c r="J154" s="17" t="str">
        <f aca="false">IF(COUNT($F154:$H154)=0,"",SUM($F154:$H154))</f>
        <v/>
      </c>
      <c r="K154" s="14"/>
      <c r="L154" s="14"/>
      <c r="M154" s="14"/>
      <c r="N154" s="13" t="str">
        <f aca="false">IF(COUNTA($A154,$D154:$I154,$K154:$M154)=0,"",IF($A154="","Add Loan UID",IF(ISNA(MATCH($A154,'Loans (reference)'!$A$2:$A$500,0)),"UID not in Loans tab",IF($D154="","Add payment no.",IF(COUNTIFS($A$2:$A$300,$A154,$D$2:$D$300,$D154)&gt;1,"Duplicate payment no.",IF($E154="","Add payment date",IF(COUNT($F154:$H154)=0,"Add an amount","Ready")))))))</f>
        <v/>
      </c>
      <c r="O154" s="18"/>
      <c r="P154" s="19"/>
    </row>
    <row r="155" customFormat="false" ht="15" hidden="false" customHeight="false" outlineLevel="0" collapsed="false">
      <c r="A155" s="12"/>
      <c r="B155" s="13" t="str">
        <f aca="false">IF($A155="","",IFERROR(INDEX('Loans (reference)'!$B$2:$B$500,MATCH($A155,'Loans (reference)'!$A$2:$A$500,0)),"not found"))</f>
        <v/>
      </c>
      <c r="C155" s="13" t="str">
        <f aca="false">IF($A155="","",IFERROR(INDEX('Loans (reference)'!$K$2:$K$500,MATCH($A155,'Loans (reference)'!$A$2:$A$500,0)),""))</f>
        <v/>
      </c>
      <c r="D155" s="14"/>
      <c r="E155" s="15"/>
      <c r="F155" s="16"/>
      <c r="G155" s="16"/>
      <c r="H155" s="16"/>
      <c r="I155" s="16"/>
      <c r="J155" s="17" t="str">
        <f aca="false">IF(COUNT($F155:$H155)=0,"",SUM($F155:$H155))</f>
        <v/>
      </c>
      <c r="K155" s="14"/>
      <c r="L155" s="14"/>
      <c r="M155" s="14"/>
      <c r="N155" s="13" t="str">
        <f aca="false">IF(COUNTA($A155,$D155:$I155,$K155:$M155)=0,"",IF($A155="","Add Loan UID",IF(ISNA(MATCH($A155,'Loans (reference)'!$A$2:$A$500,0)),"UID not in Loans tab",IF($D155="","Add payment no.",IF(COUNTIFS($A$2:$A$300,$A155,$D$2:$D$300,$D155)&gt;1,"Duplicate payment no.",IF($E155="","Add payment date",IF(COUNT($F155:$H155)=0,"Add an amount","Ready")))))))</f>
        <v/>
      </c>
      <c r="O155" s="18"/>
      <c r="P155" s="19"/>
    </row>
    <row r="156" customFormat="false" ht="15" hidden="false" customHeight="false" outlineLevel="0" collapsed="false">
      <c r="A156" s="12"/>
      <c r="B156" s="13" t="str">
        <f aca="false">IF($A156="","",IFERROR(INDEX('Loans (reference)'!$B$2:$B$500,MATCH($A156,'Loans (reference)'!$A$2:$A$500,0)),"not found"))</f>
        <v/>
      </c>
      <c r="C156" s="13" t="str">
        <f aca="false">IF($A156="","",IFERROR(INDEX('Loans (reference)'!$K$2:$K$500,MATCH($A156,'Loans (reference)'!$A$2:$A$500,0)),""))</f>
        <v/>
      </c>
      <c r="D156" s="14"/>
      <c r="E156" s="15"/>
      <c r="F156" s="16"/>
      <c r="G156" s="16"/>
      <c r="H156" s="16"/>
      <c r="I156" s="16"/>
      <c r="J156" s="17" t="str">
        <f aca="false">IF(COUNT($F156:$H156)=0,"",SUM($F156:$H156))</f>
        <v/>
      </c>
      <c r="K156" s="14"/>
      <c r="L156" s="14"/>
      <c r="M156" s="14"/>
      <c r="N156" s="13" t="str">
        <f aca="false">IF(COUNTA($A156,$D156:$I156,$K156:$M156)=0,"",IF($A156="","Add Loan UID",IF(ISNA(MATCH($A156,'Loans (reference)'!$A$2:$A$500,0)),"UID not in Loans tab",IF($D156="","Add payment no.",IF(COUNTIFS($A$2:$A$300,$A156,$D$2:$D$300,$D156)&gt;1,"Duplicate payment no.",IF($E156="","Add payment date",IF(COUNT($F156:$H156)=0,"Add an amount","Ready")))))))</f>
        <v/>
      </c>
      <c r="O156" s="18"/>
      <c r="P156" s="19"/>
    </row>
    <row r="157" customFormat="false" ht="15" hidden="false" customHeight="false" outlineLevel="0" collapsed="false">
      <c r="A157" s="12"/>
      <c r="B157" s="13" t="str">
        <f aca="false">IF($A157="","",IFERROR(INDEX('Loans (reference)'!$B$2:$B$500,MATCH($A157,'Loans (reference)'!$A$2:$A$500,0)),"not found"))</f>
        <v/>
      </c>
      <c r="C157" s="13" t="str">
        <f aca="false">IF($A157="","",IFERROR(INDEX('Loans (reference)'!$K$2:$K$500,MATCH($A157,'Loans (reference)'!$A$2:$A$500,0)),""))</f>
        <v/>
      </c>
      <c r="D157" s="14"/>
      <c r="E157" s="15"/>
      <c r="F157" s="16"/>
      <c r="G157" s="16"/>
      <c r="H157" s="16"/>
      <c r="I157" s="16"/>
      <c r="J157" s="17" t="str">
        <f aca="false">IF(COUNT($F157:$H157)=0,"",SUM($F157:$H157))</f>
        <v/>
      </c>
      <c r="K157" s="14"/>
      <c r="L157" s="14"/>
      <c r="M157" s="14"/>
      <c r="N157" s="13" t="str">
        <f aca="false">IF(COUNTA($A157,$D157:$I157,$K157:$M157)=0,"",IF($A157="","Add Loan UID",IF(ISNA(MATCH($A157,'Loans (reference)'!$A$2:$A$500,0)),"UID not in Loans tab",IF($D157="","Add payment no.",IF(COUNTIFS($A$2:$A$300,$A157,$D$2:$D$300,$D157)&gt;1,"Duplicate payment no.",IF($E157="","Add payment date",IF(COUNT($F157:$H157)=0,"Add an amount","Ready")))))))</f>
        <v/>
      </c>
      <c r="O157" s="18"/>
      <c r="P157" s="19"/>
    </row>
    <row r="158" customFormat="false" ht="15" hidden="false" customHeight="false" outlineLevel="0" collapsed="false">
      <c r="A158" s="12"/>
      <c r="B158" s="13" t="str">
        <f aca="false">IF($A158="","",IFERROR(INDEX('Loans (reference)'!$B$2:$B$500,MATCH($A158,'Loans (reference)'!$A$2:$A$500,0)),"not found"))</f>
        <v/>
      </c>
      <c r="C158" s="13" t="str">
        <f aca="false">IF($A158="","",IFERROR(INDEX('Loans (reference)'!$K$2:$K$500,MATCH($A158,'Loans (reference)'!$A$2:$A$500,0)),""))</f>
        <v/>
      </c>
      <c r="D158" s="14"/>
      <c r="E158" s="15"/>
      <c r="F158" s="16"/>
      <c r="G158" s="16"/>
      <c r="H158" s="16"/>
      <c r="I158" s="16"/>
      <c r="J158" s="17" t="str">
        <f aca="false">IF(COUNT($F158:$H158)=0,"",SUM($F158:$H158))</f>
        <v/>
      </c>
      <c r="K158" s="14"/>
      <c r="L158" s="14"/>
      <c r="M158" s="14"/>
      <c r="N158" s="13" t="str">
        <f aca="false">IF(COUNTA($A158,$D158:$I158,$K158:$M158)=0,"",IF($A158="","Add Loan UID",IF(ISNA(MATCH($A158,'Loans (reference)'!$A$2:$A$500,0)),"UID not in Loans tab",IF($D158="","Add payment no.",IF(COUNTIFS($A$2:$A$300,$A158,$D$2:$D$300,$D158)&gt;1,"Duplicate payment no.",IF($E158="","Add payment date",IF(COUNT($F158:$H158)=0,"Add an amount","Ready")))))))</f>
        <v/>
      </c>
      <c r="O158" s="18"/>
      <c r="P158" s="19"/>
    </row>
    <row r="159" customFormat="false" ht="15" hidden="false" customHeight="false" outlineLevel="0" collapsed="false">
      <c r="A159" s="12"/>
      <c r="B159" s="13" t="str">
        <f aca="false">IF($A159="","",IFERROR(INDEX('Loans (reference)'!$B$2:$B$500,MATCH($A159,'Loans (reference)'!$A$2:$A$500,0)),"not found"))</f>
        <v/>
      </c>
      <c r="C159" s="13" t="str">
        <f aca="false">IF($A159="","",IFERROR(INDEX('Loans (reference)'!$K$2:$K$500,MATCH($A159,'Loans (reference)'!$A$2:$A$500,0)),""))</f>
        <v/>
      </c>
      <c r="D159" s="14"/>
      <c r="E159" s="15"/>
      <c r="F159" s="16"/>
      <c r="G159" s="16"/>
      <c r="H159" s="16"/>
      <c r="I159" s="16"/>
      <c r="J159" s="17" t="str">
        <f aca="false">IF(COUNT($F159:$H159)=0,"",SUM($F159:$H159))</f>
        <v/>
      </c>
      <c r="K159" s="14"/>
      <c r="L159" s="14"/>
      <c r="M159" s="14"/>
      <c r="N159" s="13" t="str">
        <f aca="false">IF(COUNTA($A159,$D159:$I159,$K159:$M159)=0,"",IF($A159="","Add Loan UID",IF(ISNA(MATCH($A159,'Loans (reference)'!$A$2:$A$500,0)),"UID not in Loans tab",IF($D159="","Add payment no.",IF(COUNTIFS($A$2:$A$300,$A159,$D$2:$D$300,$D159)&gt;1,"Duplicate payment no.",IF($E159="","Add payment date",IF(COUNT($F159:$H159)=0,"Add an amount","Ready")))))))</f>
        <v/>
      </c>
      <c r="O159" s="18"/>
      <c r="P159" s="19"/>
    </row>
    <row r="160" customFormat="false" ht="15" hidden="false" customHeight="false" outlineLevel="0" collapsed="false">
      <c r="A160" s="12"/>
      <c r="B160" s="13" t="str">
        <f aca="false">IF($A160="","",IFERROR(INDEX('Loans (reference)'!$B$2:$B$500,MATCH($A160,'Loans (reference)'!$A$2:$A$500,0)),"not found"))</f>
        <v/>
      </c>
      <c r="C160" s="13" t="str">
        <f aca="false">IF($A160="","",IFERROR(INDEX('Loans (reference)'!$K$2:$K$500,MATCH($A160,'Loans (reference)'!$A$2:$A$500,0)),""))</f>
        <v/>
      </c>
      <c r="D160" s="14"/>
      <c r="E160" s="15"/>
      <c r="F160" s="16"/>
      <c r="G160" s="16"/>
      <c r="H160" s="16"/>
      <c r="I160" s="16"/>
      <c r="J160" s="17" t="str">
        <f aca="false">IF(COUNT($F160:$H160)=0,"",SUM($F160:$H160))</f>
        <v/>
      </c>
      <c r="K160" s="14"/>
      <c r="L160" s="14"/>
      <c r="M160" s="14"/>
      <c r="N160" s="13" t="str">
        <f aca="false">IF(COUNTA($A160,$D160:$I160,$K160:$M160)=0,"",IF($A160="","Add Loan UID",IF(ISNA(MATCH($A160,'Loans (reference)'!$A$2:$A$500,0)),"UID not in Loans tab",IF($D160="","Add payment no.",IF(COUNTIFS($A$2:$A$300,$A160,$D$2:$D$300,$D160)&gt;1,"Duplicate payment no.",IF($E160="","Add payment date",IF(COUNT($F160:$H160)=0,"Add an amount","Ready")))))))</f>
        <v/>
      </c>
      <c r="O160" s="18"/>
      <c r="P160" s="19"/>
    </row>
    <row r="161" customFormat="false" ht="15" hidden="false" customHeight="false" outlineLevel="0" collapsed="false">
      <c r="A161" s="12"/>
      <c r="B161" s="13" t="str">
        <f aca="false">IF($A161="","",IFERROR(INDEX('Loans (reference)'!$B$2:$B$500,MATCH($A161,'Loans (reference)'!$A$2:$A$500,0)),"not found"))</f>
        <v/>
      </c>
      <c r="C161" s="13" t="str">
        <f aca="false">IF($A161="","",IFERROR(INDEX('Loans (reference)'!$K$2:$K$500,MATCH($A161,'Loans (reference)'!$A$2:$A$500,0)),""))</f>
        <v/>
      </c>
      <c r="D161" s="14"/>
      <c r="E161" s="15"/>
      <c r="F161" s="16"/>
      <c r="G161" s="16"/>
      <c r="H161" s="16"/>
      <c r="I161" s="16"/>
      <c r="J161" s="17" t="str">
        <f aca="false">IF(COUNT($F161:$H161)=0,"",SUM($F161:$H161))</f>
        <v/>
      </c>
      <c r="K161" s="14"/>
      <c r="L161" s="14"/>
      <c r="M161" s="14"/>
      <c r="N161" s="13" t="str">
        <f aca="false">IF(COUNTA($A161,$D161:$I161,$K161:$M161)=0,"",IF($A161="","Add Loan UID",IF(ISNA(MATCH($A161,'Loans (reference)'!$A$2:$A$500,0)),"UID not in Loans tab",IF($D161="","Add payment no.",IF(COUNTIFS($A$2:$A$300,$A161,$D$2:$D$300,$D161)&gt;1,"Duplicate payment no.",IF($E161="","Add payment date",IF(COUNT($F161:$H161)=0,"Add an amount","Ready")))))))</f>
        <v/>
      </c>
      <c r="O161" s="18"/>
      <c r="P161" s="19"/>
    </row>
    <row r="162" customFormat="false" ht="15" hidden="false" customHeight="false" outlineLevel="0" collapsed="false">
      <c r="A162" s="12"/>
      <c r="B162" s="13" t="str">
        <f aca="false">IF($A162="","",IFERROR(INDEX('Loans (reference)'!$B$2:$B$500,MATCH($A162,'Loans (reference)'!$A$2:$A$500,0)),"not found"))</f>
        <v/>
      </c>
      <c r="C162" s="13" t="str">
        <f aca="false">IF($A162="","",IFERROR(INDEX('Loans (reference)'!$K$2:$K$500,MATCH($A162,'Loans (reference)'!$A$2:$A$500,0)),""))</f>
        <v/>
      </c>
      <c r="D162" s="14"/>
      <c r="E162" s="15"/>
      <c r="F162" s="16"/>
      <c r="G162" s="16"/>
      <c r="H162" s="16"/>
      <c r="I162" s="16"/>
      <c r="J162" s="17" t="str">
        <f aca="false">IF(COUNT($F162:$H162)=0,"",SUM($F162:$H162))</f>
        <v/>
      </c>
      <c r="K162" s="14"/>
      <c r="L162" s="14"/>
      <c r="M162" s="14"/>
      <c r="N162" s="13" t="str">
        <f aca="false">IF(COUNTA($A162,$D162:$I162,$K162:$M162)=0,"",IF($A162="","Add Loan UID",IF(ISNA(MATCH($A162,'Loans (reference)'!$A$2:$A$500,0)),"UID not in Loans tab",IF($D162="","Add payment no.",IF(COUNTIFS($A$2:$A$300,$A162,$D$2:$D$300,$D162)&gt;1,"Duplicate payment no.",IF($E162="","Add payment date",IF(COUNT($F162:$H162)=0,"Add an amount","Ready")))))))</f>
        <v/>
      </c>
      <c r="O162" s="18"/>
      <c r="P162" s="19"/>
    </row>
    <row r="163" customFormat="false" ht="15" hidden="false" customHeight="false" outlineLevel="0" collapsed="false">
      <c r="A163" s="12"/>
      <c r="B163" s="13" t="str">
        <f aca="false">IF($A163="","",IFERROR(INDEX('Loans (reference)'!$B$2:$B$500,MATCH($A163,'Loans (reference)'!$A$2:$A$500,0)),"not found"))</f>
        <v/>
      </c>
      <c r="C163" s="13" t="str">
        <f aca="false">IF($A163="","",IFERROR(INDEX('Loans (reference)'!$K$2:$K$500,MATCH($A163,'Loans (reference)'!$A$2:$A$500,0)),""))</f>
        <v/>
      </c>
      <c r="D163" s="14"/>
      <c r="E163" s="15"/>
      <c r="F163" s="16"/>
      <c r="G163" s="16"/>
      <c r="H163" s="16"/>
      <c r="I163" s="16"/>
      <c r="J163" s="17" t="str">
        <f aca="false">IF(COUNT($F163:$H163)=0,"",SUM($F163:$H163))</f>
        <v/>
      </c>
      <c r="K163" s="14"/>
      <c r="L163" s="14"/>
      <c r="M163" s="14"/>
      <c r="N163" s="13" t="str">
        <f aca="false">IF(COUNTA($A163,$D163:$I163,$K163:$M163)=0,"",IF($A163="","Add Loan UID",IF(ISNA(MATCH($A163,'Loans (reference)'!$A$2:$A$500,0)),"UID not in Loans tab",IF($D163="","Add payment no.",IF(COUNTIFS($A$2:$A$300,$A163,$D$2:$D$300,$D163)&gt;1,"Duplicate payment no.",IF($E163="","Add payment date",IF(COUNT($F163:$H163)=0,"Add an amount","Ready")))))))</f>
        <v/>
      </c>
      <c r="O163" s="18"/>
      <c r="P163" s="19"/>
    </row>
    <row r="164" customFormat="false" ht="15" hidden="false" customHeight="false" outlineLevel="0" collapsed="false">
      <c r="A164" s="12"/>
      <c r="B164" s="13" t="str">
        <f aca="false">IF($A164="","",IFERROR(INDEX('Loans (reference)'!$B$2:$B$500,MATCH($A164,'Loans (reference)'!$A$2:$A$500,0)),"not found"))</f>
        <v/>
      </c>
      <c r="C164" s="13" t="str">
        <f aca="false">IF($A164="","",IFERROR(INDEX('Loans (reference)'!$K$2:$K$500,MATCH($A164,'Loans (reference)'!$A$2:$A$500,0)),""))</f>
        <v/>
      </c>
      <c r="D164" s="14"/>
      <c r="E164" s="15"/>
      <c r="F164" s="16"/>
      <c r="G164" s="16"/>
      <c r="H164" s="16"/>
      <c r="I164" s="16"/>
      <c r="J164" s="17" t="str">
        <f aca="false">IF(COUNT($F164:$H164)=0,"",SUM($F164:$H164))</f>
        <v/>
      </c>
      <c r="K164" s="14"/>
      <c r="L164" s="14"/>
      <c r="M164" s="14"/>
      <c r="N164" s="13" t="str">
        <f aca="false">IF(COUNTA($A164,$D164:$I164,$K164:$M164)=0,"",IF($A164="","Add Loan UID",IF(ISNA(MATCH($A164,'Loans (reference)'!$A$2:$A$500,0)),"UID not in Loans tab",IF($D164="","Add payment no.",IF(COUNTIFS($A$2:$A$300,$A164,$D$2:$D$300,$D164)&gt;1,"Duplicate payment no.",IF($E164="","Add payment date",IF(COUNT($F164:$H164)=0,"Add an amount","Ready")))))))</f>
        <v/>
      </c>
      <c r="O164" s="18"/>
      <c r="P164" s="19"/>
    </row>
    <row r="165" customFormat="false" ht="15" hidden="false" customHeight="false" outlineLevel="0" collapsed="false">
      <c r="A165" s="12"/>
      <c r="B165" s="13" t="str">
        <f aca="false">IF($A165="","",IFERROR(INDEX('Loans (reference)'!$B$2:$B$500,MATCH($A165,'Loans (reference)'!$A$2:$A$500,0)),"not found"))</f>
        <v/>
      </c>
      <c r="C165" s="13" t="str">
        <f aca="false">IF($A165="","",IFERROR(INDEX('Loans (reference)'!$K$2:$K$500,MATCH($A165,'Loans (reference)'!$A$2:$A$500,0)),""))</f>
        <v/>
      </c>
      <c r="D165" s="14"/>
      <c r="E165" s="15"/>
      <c r="F165" s="16"/>
      <c r="G165" s="16"/>
      <c r="H165" s="16"/>
      <c r="I165" s="16"/>
      <c r="J165" s="17" t="str">
        <f aca="false">IF(COUNT($F165:$H165)=0,"",SUM($F165:$H165))</f>
        <v/>
      </c>
      <c r="K165" s="14"/>
      <c r="L165" s="14"/>
      <c r="M165" s="14"/>
      <c r="N165" s="13" t="str">
        <f aca="false">IF(COUNTA($A165,$D165:$I165,$K165:$M165)=0,"",IF($A165="","Add Loan UID",IF(ISNA(MATCH($A165,'Loans (reference)'!$A$2:$A$500,0)),"UID not in Loans tab",IF($D165="","Add payment no.",IF(COUNTIFS($A$2:$A$300,$A165,$D$2:$D$300,$D165)&gt;1,"Duplicate payment no.",IF($E165="","Add payment date",IF(COUNT($F165:$H165)=0,"Add an amount","Ready")))))))</f>
        <v/>
      </c>
      <c r="O165" s="18"/>
      <c r="P165" s="19"/>
    </row>
    <row r="166" customFormat="false" ht="15" hidden="false" customHeight="false" outlineLevel="0" collapsed="false">
      <c r="A166" s="12"/>
      <c r="B166" s="13" t="str">
        <f aca="false">IF($A166="","",IFERROR(INDEX('Loans (reference)'!$B$2:$B$500,MATCH($A166,'Loans (reference)'!$A$2:$A$500,0)),"not found"))</f>
        <v/>
      </c>
      <c r="C166" s="13" t="str">
        <f aca="false">IF($A166="","",IFERROR(INDEX('Loans (reference)'!$K$2:$K$500,MATCH($A166,'Loans (reference)'!$A$2:$A$500,0)),""))</f>
        <v/>
      </c>
      <c r="D166" s="14"/>
      <c r="E166" s="15"/>
      <c r="F166" s="16"/>
      <c r="G166" s="16"/>
      <c r="H166" s="16"/>
      <c r="I166" s="16"/>
      <c r="J166" s="17" t="str">
        <f aca="false">IF(COUNT($F166:$H166)=0,"",SUM($F166:$H166))</f>
        <v/>
      </c>
      <c r="K166" s="14"/>
      <c r="L166" s="14"/>
      <c r="M166" s="14"/>
      <c r="N166" s="13" t="str">
        <f aca="false">IF(COUNTA($A166,$D166:$I166,$K166:$M166)=0,"",IF($A166="","Add Loan UID",IF(ISNA(MATCH($A166,'Loans (reference)'!$A$2:$A$500,0)),"UID not in Loans tab",IF($D166="","Add payment no.",IF(COUNTIFS($A$2:$A$300,$A166,$D$2:$D$300,$D166)&gt;1,"Duplicate payment no.",IF($E166="","Add payment date",IF(COUNT($F166:$H166)=0,"Add an amount","Ready")))))))</f>
        <v/>
      </c>
      <c r="O166" s="18"/>
      <c r="P166" s="19"/>
    </row>
    <row r="167" customFormat="false" ht="15" hidden="false" customHeight="false" outlineLevel="0" collapsed="false">
      <c r="A167" s="12"/>
      <c r="B167" s="13" t="str">
        <f aca="false">IF($A167="","",IFERROR(INDEX('Loans (reference)'!$B$2:$B$500,MATCH($A167,'Loans (reference)'!$A$2:$A$500,0)),"not found"))</f>
        <v/>
      </c>
      <c r="C167" s="13" t="str">
        <f aca="false">IF($A167="","",IFERROR(INDEX('Loans (reference)'!$K$2:$K$500,MATCH($A167,'Loans (reference)'!$A$2:$A$500,0)),""))</f>
        <v/>
      </c>
      <c r="D167" s="14"/>
      <c r="E167" s="15"/>
      <c r="F167" s="16"/>
      <c r="G167" s="16"/>
      <c r="H167" s="16"/>
      <c r="I167" s="16"/>
      <c r="J167" s="17" t="str">
        <f aca="false">IF(COUNT($F167:$H167)=0,"",SUM($F167:$H167))</f>
        <v/>
      </c>
      <c r="K167" s="14"/>
      <c r="L167" s="14"/>
      <c r="M167" s="14"/>
      <c r="N167" s="13" t="str">
        <f aca="false">IF(COUNTA($A167,$D167:$I167,$K167:$M167)=0,"",IF($A167="","Add Loan UID",IF(ISNA(MATCH($A167,'Loans (reference)'!$A$2:$A$500,0)),"UID not in Loans tab",IF($D167="","Add payment no.",IF(COUNTIFS($A$2:$A$300,$A167,$D$2:$D$300,$D167)&gt;1,"Duplicate payment no.",IF($E167="","Add payment date",IF(COUNT($F167:$H167)=0,"Add an amount","Ready")))))))</f>
        <v/>
      </c>
      <c r="O167" s="18"/>
      <c r="P167" s="19"/>
    </row>
    <row r="168" customFormat="false" ht="15" hidden="false" customHeight="false" outlineLevel="0" collapsed="false">
      <c r="A168" s="12"/>
      <c r="B168" s="13" t="str">
        <f aca="false">IF($A168="","",IFERROR(INDEX('Loans (reference)'!$B$2:$B$500,MATCH($A168,'Loans (reference)'!$A$2:$A$500,0)),"not found"))</f>
        <v/>
      </c>
      <c r="C168" s="13" t="str">
        <f aca="false">IF($A168="","",IFERROR(INDEX('Loans (reference)'!$K$2:$K$500,MATCH($A168,'Loans (reference)'!$A$2:$A$500,0)),""))</f>
        <v/>
      </c>
      <c r="D168" s="14"/>
      <c r="E168" s="15"/>
      <c r="F168" s="16"/>
      <c r="G168" s="16"/>
      <c r="H168" s="16"/>
      <c r="I168" s="16"/>
      <c r="J168" s="17" t="str">
        <f aca="false">IF(COUNT($F168:$H168)=0,"",SUM($F168:$H168))</f>
        <v/>
      </c>
      <c r="K168" s="14"/>
      <c r="L168" s="14"/>
      <c r="M168" s="14"/>
      <c r="N168" s="13" t="str">
        <f aca="false">IF(COUNTA($A168,$D168:$I168,$K168:$M168)=0,"",IF($A168="","Add Loan UID",IF(ISNA(MATCH($A168,'Loans (reference)'!$A$2:$A$500,0)),"UID not in Loans tab",IF($D168="","Add payment no.",IF(COUNTIFS($A$2:$A$300,$A168,$D$2:$D$300,$D168)&gt;1,"Duplicate payment no.",IF($E168="","Add payment date",IF(COUNT($F168:$H168)=0,"Add an amount","Ready")))))))</f>
        <v/>
      </c>
      <c r="O168" s="18"/>
      <c r="P168" s="19"/>
    </row>
    <row r="169" customFormat="false" ht="15" hidden="false" customHeight="false" outlineLevel="0" collapsed="false">
      <c r="A169" s="12"/>
      <c r="B169" s="13" t="str">
        <f aca="false">IF($A169="","",IFERROR(INDEX('Loans (reference)'!$B$2:$B$500,MATCH($A169,'Loans (reference)'!$A$2:$A$500,0)),"not found"))</f>
        <v/>
      </c>
      <c r="C169" s="13" t="str">
        <f aca="false">IF($A169="","",IFERROR(INDEX('Loans (reference)'!$K$2:$K$500,MATCH($A169,'Loans (reference)'!$A$2:$A$500,0)),""))</f>
        <v/>
      </c>
      <c r="D169" s="14"/>
      <c r="E169" s="15"/>
      <c r="F169" s="16"/>
      <c r="G169" s="16"/>
      <c r="H169" s="16"/>
      <c r="I169" s="16"/>
      <c r="J169" s="17" t="str">
        <f aca="false">IF(COUNT($F169:$H169)=0,"",SUM($F169:$H169))</f>
        <v/>
      </c>
      <c r="K169" s="14"/>
      <c r="L169" s="14"/>
      <c r="M169" s="14"/>
      <c r="N169" s="13" t="str">
        <f aca="false">IF(COUNTA($A169,$D169:$I169,$K169:$M169)=0,"",IF($A169="","Add Loan UID",IF(ISNA(MATCH($A169,'Loans (reference)'!$A$2:$A$500,0)),"UID not in Loans tab",IF($D169="","Add payment no.",IF(COUNTIFS($A$2:$A$300,$A169,$D$2:$D$300,$D169)&gt;1,"Duplicate payment no.",IF($E169="","Add payment date",IF(COUNT($F169:$H169)=0,"Add an amount","Ready")))))))</f>
        <v/>
      </c>
      <c r="O169" s="18"/>
      <c r="P169" s="19"/>
    </row>
    <row r="170" customFormat="false" ht="15" hidden="false" customHeight="false" outlineLevel="0" collapsed="false">
      <c r="A170" s="12"/>
      <c r="B170" s="13" t="str">
        <f aca="false">IF($A170="","",IFERROR(INDEX('Loans (reference)'!$B$2:$B$500,MATCH($A170,'Loans (reference)'!$A$2:$A$500,0)),"not found"))</f>
        <v/>
      </c>
      <c r="C170" s="13" t="str">
        <f aca="false">IF($A170="","",IFERROR(INDEX('Loans (reference)'!$K$2:$K$500,MATCH($A170,'Loans (reference)'!$A$2:$A$500,0)),""))</f>
        <v/>
      </c>
      <c r="D170" s="14"/>
      <c r="E170" s="15"/>
      <c r="F170" s="16"/>
      <c r="G170" s="16"/>
      <c r="H170" s="16"/>
      <c r="I170" s="16"/>
      <c r="J170" s="17" t="str">
        <f aca="false">IF(COUNT($F170:$H170)=0,"",SUM($F170:$H170))</f>
        <v/>
      </c>
      <c r="K170" s="14"/>
      <c r="L170" s="14"/>
      <c r="M170" s="14"/>
      <c r="N170" s="13" t="str">
        <f aca="false">IF(COUNTA($A170,$D170:$I170,$K170:$M170)=0,"",IF($A170="","Add Loan UID",IF(ISNA(MATCH($A170,'Loans (reference)'!$A$2:$A$500,0)),"UID not in Loans tab",IF($D170="","Add payment no.",IF(COUNTIFS($A$2:$A$300,$A170,$D$2:$D$300,$D170)&gt;1,"Duplicate payment no.",IF($E170="","Add payment date",IF(COUNT($F170:$H170)=0,"Add an amount","Ready")))))))</f>
        <v/>
      </c>
      <c r="O170" s="18"/>
      <c r="P170" s="19"/>
    </row>
    <row r="171" customFormat="false" ht="15" hidden="false" customHeight="false" outlineLevel="0" collapsed="false">
      <c r="A171" s="12"/>
      <c r="B171" s="13" t="str">
        <f aca="false">IF($A171="","",IFERROR(INDEX('Loans (reference)'!$B$2:$B$500,MATCH($A171,'Loans (reference)'!$A$2:$A$500,0)),"not found"))</f>
        <v/>
      </c>
      <c r="C171" s="13" t="str">
        <f aca="false">IF($A171="","",IFERROR(INDEX('Loans (reference)'!$K$2:$K$500,MATCH($A171,'Loans (reference)'!$A$2:$A$500,0)),""))</f>
        <v/>
      </c>
      <c r="D171" s="14"/>
      <c r="E171" s="15"/>
      <c r="F171" s="16"/>
      <c r="G171" s="16"/>
      <c r="H171" s="16"/>
      <c r="I171" s="16"/>
      <c r="J171" s="17" t="str">
        <f aca="false">IF(COUNT($F171:$H171)=0,"",SUM($F171:$H171))</f>
        <v/>
      </c>
      <c r="K171" s="14"/>
      <c r="L171" s="14"/>
      <c r="M171" s="14"/>
      <c r="N171" s="13" t="str">
        <f aca="false">IF(COUNTA($A171,$D171:$I171,$K171:$M171)=0,"",IF($A171="","Add Loan UID",IF(ISNA(MATCH($A171,'Loans (reference)'!$A$2:$A$500,0)),"UID not in Loans tab",IF($D171="","Add payment no.",IF(COUNTIFS($A$2:$A$300,$A171,$D$2:$D$300,$D171)&gt;1,"Duplicate payment no.",IF($E171="","Add payment date",IF(COUNT($F171:$H171)=0,"Add an amount","Ready")))))))</f>
        <v/>
      </c>
      <c r="O171" s="18"/>
      <c r="P171" s="19"/>
    </row>
    <row r="172" customFormat="false" ht="15" hidden="false" customHeight="false" outlineLevel="0" collapsed="false">
      <c r="A172" s="12"/>
      <c r="B172" s="13" t="str">
        <f aca="false">IF($A172="","",IFERROR(INDEX('Loans (reference)'!$B$2:$B$500,MATCH($A172,'Loans (reference)'!$A$2:$A$500,0)),"not found"))</f>
        <v/>
      </c>
      <c r="C172" s="13" t="str">
        <f aca="false">IF($A172="","",IFERROR(INDEX('Loans (reference)'!$K$2:$K$500,MATCH($A172,'Loans (reference)'!$A$2:$A$500,0)),""))</f>
        <v/>
      </c>
      <c r="D172" s="14"/>
      <c r="E172" s="15"/>
      <c r="F172" s="16"/>
      <c r="G172" s="16"/>
      <c r="H172" s="16"/>
      <c r="I172" s="16"/>
      <c r="J172" s="17" t="str">
        <f aca="false">IF(COUNT($F172:$H172)=0,"",SUM($F172:$H172))</f>
        <v/>
      </c>
      <c r="K172" s="14"/>
      <c r="L172" s="14"/>
      <c r="M172" s="14"/>
      <c r="N172" s="13" t="str">
        <f aca="false">IF(COUNTA($A172,$D172:$I172,$K172:$M172)=0,"",IF($A172="","Add Loan UID",IF(ISNA(MATCH($A172,'Loans (reference)'!$A$2:$A$500,0)),"UID not in Loans tab",IF($D172="","Add payment no.",IF(COUNTIFS($A$2:$A$300,$A172,$D$2:$D$300,$D172)&gt;1,"Duplicate payment no.",IF($E172="","Add payment date",IF(COUNT($F172:$H172)=0,"Add an amount","Ready")))))))</f>
        <v/>
      </c>
      <c r="O172" s="18"/>
      <c r="P172" s="19"/>
    </row>
    <row r="173" customFormat="false" ht="15" hidden="false" customHeight="false" outlineLevel="0" collapsed="false">
      <c r="A173" s="12"/>
      <c r="B173" s="13" t="str">
        <f aca="false">IF($A173="","",IFERROR(INDEX('Loans (reference)'!$B$2:$B$500,MATCH($A173,'Loans (reference)'!$A$2:$A$500,0)),"not found"))</f>
        <v/>
      </c>
      <c r="C173" s="13" t="str">
        <f aca="false">IF($A173="","",IFERROR(INDEX('Loans (reference)'!$K$2:$K$500,MATCH($A173,'Loans (reference)'!$A$2:$A$500,0)),""))</f>
        <v/>
      </c>
      <c r="D173" s="14"/>
      <c r="E173" s="15"/>
      <c r="F173" s="16"/>
      <c r="G173" s="16"/>
      <c r="H173" s="16"/>
      <c r="I173" s="16"/>
      <c r="J173" s="17" t="str">
        <f aca="false">IF(COUNT($F173:$H173)=0,"",SUM($F173:$H173))</f>
        <v/>
      </c>
      <c r="K173" s="14"/>
      <c r="L173" s="14"/>
      <c r="M173" s="14"/>
      <c r="N173" s="13" t="str">
        <f aca="false">IF(COUNTA($A173,$D173:$I173,$K173:$M173)=0,"",IF($A173="","Add Loan UID",IF(ISNA(MATCH($A173,'Loans (reference)'!$A$2:$A$500,0)),"UID not in Loans tab",IF($D173="","Add payment no.",IF(COUNTIFS($A$2:$A$300,$A173,$D$2:$D$300,$D173)&gt;1,"Duplicate payment no.",IF($E173="","Add payment date",IF(COUNT($F173:$H173)=0,"Add an amount","Ready")))))))</f>
        <v/>
      </c>
      <c r="O173" s="18"/>
      <c r="P173" s="19"/>
    </row>
    <row r="174" customFormat="false" ht="15" hidden="false" customHeight="false" outlineLevel="0" collapsed="false">
      <c r="A174" s="12"/>
      <c r="B174" s="13" t="str">
        <f aca="false">IF($A174="","",IFERROR(INDEX('Loans (reference)'!$B$2:$B$500,MATCH($A174,'Loans (reference)'!$A$2:$A$500,0)),"not found"))</f>
        <v/>
      </c>
      <c r="C174" s="13" t="str">
        <f aca="false">IF($A174="","",IFERROR(INDEX('Loans (reference)'!$K$2:$K$500,MATCH($A174,'Loans (reference)'!$A$2:$A$500,0)),""))</f>
        <v/>
      </c>
      <c r="D174" s="14"/>
      <c r="E174" s="15"/>
      <c r="F174" s="16"/>
      <c r="G174" s="16"/>
      <c r="H174" s="16"/>
      <c r="I174" s="16"/>
      <c r="J174" s="17" t="str">
        <f aca="false">IF(COUNT($F174:$H174)=0,"",SUM($F174:$H174))</f>
        <v/>
      </c>
      <c r="K174" s="14"/>
      <c r="L174" s="14"/>
      <c r="M174" s="14"/>
      <c r="N174" s="13" t="str">
        <f aca="false">IF(COUNTA($A174,$D174:$I174,$K174:$M174)=0,"",IF($A174="","Add Loan UID",IF(ISNA(MATCH($A174,'Loans (reference)'!$A$2:$A$500,0)),"UID not in Loans tab",IF($D174="","Add payment no.",IF(COUNTIFS($A$2:$A$300,$A174,$D$2:$D$300,$D174)&gt;1,"Duplicate payment no.",IF($E174="","Add payment date",IF(COUNT($F174:$H174)=0,"Add an amount","Ready")))))))</f>
        <v/>
      </c>
      <c r="O174" s="18"/>
      <c r="P174" s="19"/>
    </row>
    <row r="175" customFormat="false" ht="15" hidden="false" customHeight="false" outlineLevel="0" collapsed="false">
      <c r="A175" s="12"/>
      <c r="B175" s="13" t="str">
        <f aca="false">IF($A175="","",IFERROR(INDEX('Loans (reference)'!$B$2:$B$500,MATCH($A175,'Loans (reference)'!$A$2:$A$500,0)),"not found"))</f>
        <v/>
      </c>
      <c r="C175" s="13" t="str">
        <f aca="false">IF($A175="","",IFERROR(INDEX('Loans (reference)'!$K$2:$K$500,MATCH($A175,'Loans (reference)'!$A$2:$A$500,0)),""))</f>
        <v/>
      </c>
      <c r="D175" s="14"/>
      <c r="E175" s="15"/>
      <c r="F175" s="16"/>
      <c r="G175" s="16"/>
      <c r="H175" s="16"/>
      <c r="I175" s="16"/>
      <c r="J175" s="17" t="str">
        <f aca="false">IF(COUNT($F175:$H175)=0,"",SUM($F175:$H175))</f>
        <v/>
      </c>
      <c r="K175" s="14"/>
      <c r="L175" s="14"/>
      <c r="M175" s="14"/>
      <c r="N175" s="13" t="str">
        <f aca="false">IF(COUNTA($A175,$D175:$I175,$K175:$M175)=0,"",IF($A175="","Add Loan UID",IF(ISNA(MATCH($A175,'Loans (reference)'!$A$2:$A$500,0)),"UID not in Loans tab",IF($D175="","Add payment no.",IF(COUNTIFS($A$2:$A$300,$A175,$D$2:$D$300,$D175)&gt;1,"Duplicate payment no.",IF($E175="","Add payment date",IF(COUNT($F175:$H175)=0,"Add an amount","Ready")))))))</f>
        <v/>
      </c>
      <c r="O175" s="18"/>
      <c r="P175" s="19"/>
    </row>
    <row r="176" customFormat="false" ht="15" hidden="false" customHeight="false" outlineLevel="0" collapsed="false">
      <c r="A176" s="12"/>
      <c r="B176" s="13" t="str">
        <f aca="false">IF($A176="","",IFERROR(INDEX('Loans (reference)'!$B$2:$B$500,MATCH($A176,'Loans (reference)'!$A$2:$A$500,0)),"not found"))</f>
        <v/>
      </c>
      <c r="C176" s="13" t="str">
        <f aca="false">IF($A176="","",IFERROR(INDEX('Loans (reference)'!$K$2:$K$500,MATCH($A176,'Loans (reference)'!$A$2:$A$500,0)),""))</f>
        <v/>
      </c>
      <c r="D176" s="14"/>
      <c r="E176" s="15"/>
      <c r="F176" s="16"/>
      <c r="G176" s="16"/>
      <c r="H176" s="16"/>
      <c r="I176" s="16"/>
      <c r="J176" s="17" t="str">
        <f aca="false">IF(COUNT($F176:$H176)=0,"",SUM($F176:$H176))</f>
        <v/>
      </c>
      <c r="K176" s="14"/>
      <c r="L176" s="14"/>
      <c r="M176" s="14"/>
      <c r="N176" s="13" t="str">
        <f aca="false">IF(COUNTA($A176,$D176:$I176,$K176:$M176)=0,"",IF($A176="","Add Loan UID",IF(ISNA(MATCH($A176,'Loans (reference)'!$A$2:$A$500,0)),"UID not in Loans tab",IF($D176="","Add payment no.",IF(COUNTIFS($A$2:$A$300,$A176,$D$2:$D$300,$D176)&gt;1,"Duplicate payment no.",IF($E176="","Add payment date",IF(COUNT($F176:$H176)=0,"Add an amount","Ready")))))))</f>
        <v/>
      </c>
      <c r="O176" s="18"/>
      <c r="P176" s="19"/>
    </row>
    <row r="177" customFormat="false" ht="15" hidden="false" customHeight="false" outlineLevel="0" collapsed="false">
      <c r="A177" s="12"/>
      <c r="B177" s="13" t="str">
        <f aca="false">IF($A177="","",IFERROR(INDEX('Loans (reference)'!$B$2:$B$500,MATCH($A177,'Loans (reference)'!$A$2:$A$500,0)),"not found"))</f>
        <v/>
      </c>
      <c r="C177" s="13" t="str">
        <f aca="false">IF($A177="","",IFERROR(INDEX('Loans (reference)'!$K$2:$K$500,MATCH($A177,'Loans (reference)'!$A$2:$A$500,0)),""))</f>
        <v/>
      </c>
      <c r="D177" s="14"/>
      <c r="E177" s="15"/>
      <c r="F177" s="16"/>
      <c r="G177" s="16"/>
      <c r="H177" s="16"/>
      <c r="I177" s="16"/>
      <c r="J177" s="17" t="str">
        <f aca="false">IF(COUNT($F177:$H177)=0,"",SUM($F177:$H177))</f>
        <v/>
      </c>
      <c r="K177" s="14"/>
      <c r="L177" s="14"/>
      <c r="M177" s="14"/>
      <c r="N177" s="13" t="str">
        <f aca="false">IF(COUNTA($A177,$D177:$I177,$K177:$M177)=0,"",IF($A177="","Add Loan UID",IF(ISNA(MATCH($A177,'Loans (reference)'!$A$2:$A$500,0)),"UID not in Loans tab",IF($D177="","Add payment no.",IF(COUNTIFS($A$2:$A$300,$A177,$D$2:$D$300,$D177)&gt;1,"Duplicate payment no.",IF($E177="","Add payment date",IF(COUNT($F177:$H177)=0,"Add an amount","Ready")))))))</f>
        <v/>
      </c>
      <c r="O177" s="18"/>
      <c r="P177" s="19"/>
    </row>
    <row r="178" customFormat="false" ht="15" hidden="false" customHeight="false" outlineLevel="0" collapsed="false">
      <c r="A178" s="12"/>
      <c r="B178" s="13" t="str">
        <f aca="false">IF($A178="","",IFERROR(INDEX('Loans (reference)'!$B$2:$B$500,MATCH($A178,'Loans (reference)'!$A$2:$A$500,0)),"not found"))</f>
        <v/>
      </c>
      <c r="C178" s="13" t="str">
        <f aca="false">IF($A178="","",IFERROR(INDEX('Loans (reference)'!$K$2:$K$500,MATCH($A178,'Loans (reference)'!$A$2:$A$500,0)),""))</f>
        <v/>
      </c>
      <c r="D178" s="14"/>
      <c r="E178" s="15"/>
      <c r="F178" s="16"/>
      <c r="G178" s="16"/>
      <c r="H178" s="16"/>
      <c r="I178" s="16"/>
      <c r="J178" s="17" t="str">
        <f aca="false">IF(COUNT($F178:$H178)=0,"",SUM($F178:$H178))</f>
        <v/>
      </c>
      <c r="K178" s="14"/>
      <c r="L178" s="14"/>
      <c r="M178" s="14"/>
      <c r="N178" s="13" t="str">
        <f aca="false">IF(COUNTA($A178,$D178:$I178,$K178:$M178)=0,"",IF($A178="","Add Loan UID",IF(ISNA(MATCH($A178,'Loans (reference)'!$A$2:$A$500,0)),"UID not in Loans tab",IF($D178="","Add payment no.",IF(COUNTIFS($A$2:$A$300,$A178,$D$2:$D$300,$D178)&gt;1,"Duplicate payment no.",IF($E178="","Add payment date",IF(COUNT($F178:$H178)=0,"Add an amount","Ready")))))))</f>
        <v/>
      </c>
      <c r="O178" s="18"/>
      <c r="P178" s="19"/>
    </row>
    <row r="179" customFormat="false" ht="15" hidden="false" customHeight="false" outlineLevel="0" collapsed="false">
      <c r="A179" s="12"/>
      <c r="B179" s="13" t="str">
        <f aca="false">IF($A179="","",IFERROR(INDEX('Loans (reference)'!$B$2:$B$500,MATCH($A179,'Loans (reference)'!$A$2:$A$500,0)),"not found"))</f>
        <v/>
      </c>
      <c r="C179" s="13" t="str">
        <f aca="false">IF($A179="","",IFERROR(INDEX('Loans (reference)'!$K$2:$K$500,MATCH($A179,'Loans (reference)'!$A$2:$A$500,0)),""))</f>
        <v/>
      </c>
      <c r="D179" s="14"/>
      <c r="E179" s="15"/>
      <c r="F179" s="16"/>
      <c r="G179" s="16"/>
      <c r="H179" s="16"/>
      <c r="I179" s="16"/>
      <c r="J179" s="17" t="str">
        <f aca="false">IF(COUNT($F179:$H179)=0,"",SUM($F179:$H179))</f>
        <v/>
      </c>
      <c r="K179" s="14"/>
      <c r="L179" s="14"/>
      <c r="M179" s="14"/>
      <c r="N179" s="13" t="str">
        <f aca="false">IF(COUNTA($A179,$D179:$I179,$K179:$M179)=0,"",IF($A179="","Add Loan UID",IF(ISNA(MATCH($A179,'Loans (reference)'!$A$2:$A$500,0)),"UID not in Loans tab",IF($D179="","Add payment no.",IF(COUNTIFS($A$2:$A$300,$A179,$D$2:$D$300,$D179)&gt;1,"Duplicate payment no.",IF($E179="","Add payment date",IF(COUNT($F179:$H179)=0,"Add an amount","Ready")))))))</f>
        <v/>
      </c>
      <c r="O179" s="18"/>
      <c r="P179" s="19"/>
    </row>
    <row r="180" customFormat="false" ht="15" hidden="false" customHeight="false" outlineLevel="0" collapsed="false">
      <c r="A180" s="12"/>
      <c r="B180" s="13" t="str">
        <f aca="false">IF($A180="","",IFERROR(INDEX('Loans (reference)'!$B$2:$B$500,MATCH($A180,'Loans (reference)'!$A$2:$A$500,0)),"not found"))</f>
        <v/>
      </c>
      <c r="C180" s="13" t="str">
        <f aca="false">IF($A180="","",IFERROR(INDEX('Loans (reference)'!$K$2:$K$500,MATCH($A180,'Loans (reference)'!$A$2:$A$500,0)),""))</f>
        <v/>
      </c>
      <c r="D180" s="14"/>
      <c r="E180" s="15"/>
      <c r="F180" s="16"/>
      <c r="G180" s="16"/>
      <c r="H180" s="16"/>
      <c r="I180" s="16"/>
      <c r="J180" s="17" t="str">
        <f aca="false">IF(COUNT($F180:$H180)=0,"",SUM($F180:$H180))</f>
        <v/>
      </c>
      <c r="K180" s="14"/>
      <c r="L180" s="14"/>
      <c r="M180" s="14"/>
      <c r="N180" s="13" t="str">
        <f aca="false">IF(COUNTA($A180,$D180:$I180,$K180:$M180)=0,"",IF($A180="","Add Loan UID",IF(ISNA(MATCH($A180,'Loans (reference)'!$A$2:$A$500,0)),"UID not in Loans tab",IF($D180="","Add payment no.",IF(COUNTIFS($A$2:$A$300,$A180,$D$2:$D$300,$D180)&gt;1,"Duplicate payment no.",IF($E180="","Add payment date",IF(COUNT($F180:$H180)=0,"Add an amount","Ready")))))))</f>
        <v/>
      </c>
      <c r="O180" s="18"/>
      <c r="P180" s="19"/>
    </row>
    <row r="181" customFormat="false" ht="15" hidden="false" customHeight="false" outlineLevel="0" collapsed="false">
      <c r="A181" s="12"/>
      <c r="B181" s="13" t="str">
        <f aca="false">IF($A181="","",IFERROR(INDEX('Loans (reference)'!$B$2:$B$500,MATCH($A181,'Loans (reference)'!$A$2:$A$500,0)),"not found"))</f>
        <v/>
      </c>
      <c r="C181" s="13" t="str">
        <f aca="false">IF($A181="","",IFERROR(INDEX('Loans (reference)'!$K$2:$K$500,MATCH($A181,'Loans (reference)'!$A$2:$A$500,0)),""))</f>
        <v/>
      </c>
      <c r="D181" s="14"/>
      <c r="E181" s="15"/>
      <c r="F181" s="16"/>
      <c r="G181" s="16"/>
      <c r="H181" s="16"/>
      <c r="I181" s="16"/>
      <c r="J181" s="17" t="str">
        <f aca="false">IF(COUNT($F181:$H181)=0,"",SUM($F181:$H181))</f>
        <v/>
      </c>
      <c r="K181" s="14"/>
      <c r="L181" s="14"/>
      <c r="M181" s="14"/>
      <c r="N181" s="13" t="str">
        <f aca="false">IF(COUNTA($A181,$D181:$I181,$K181:$M181)=0,"",IF($A181="","Add Loan UID",IF(ISNA(MATCH($A181,'Loans (reference)'!$A$2:$A$500,0)),"UID not in Loans tab",IF($D181="","Add payment no.",IF(COUNTIFS($A$2:$A$300,$A181,$D$2:$D$300,$D181)&gt;1,"Duplicate payment no.",IF($E181="","Add payment date",IF(COUNT($F181:$H181)=0,"Add an amount","Ready")))))))</f>
        <v/>
      </c>
      <c r="O181" s="18"/>
      <c r="P181" s="19"/>
    </row>
    <row r="182" customFormat="false" ht="15" hidden="false" customHeight="false" outlineLevel="0" collapsed="false">
      <c r="A182" s="12"/>
      <c r="B182" s="13" t="str">
        <f aca="false">IF($A182="","",IFERROR(INDEX('Loans (reference)'!$B$2:$B$500,MATCH($A182,'Loans (reference)'!$A$2:$A$500,0)),"not found"))</f>
        <v/>
      </c>
      <c r="C182" s="13" t="str">
        <f aca="false">IF($A182="","",IFERROR(INDEX('Loans (reference)'!$K$2:$K$500,MATCH($A182,'Loans (reference)'!$A$2:$A$500,0)),""))</f>
        <v/>
      </c>
      <c r="D182" s="14"/>
      <c r="E182" s="15"/>
      <c r="F182" s="16"/>
      <c r="G182" s="16"/>
      <c r="H182" s="16"/>
      <c r="I182" s="16"/>
      <c r="J182" s="17" t="str">
        <f aca="false">IF(COUNT($F182:$H182)=0,"",SUM($F182:$H182))</f>
        <v/>
      </c>
      <c r="K182" s="14"/>
      <c r="L182" s="14"/>
      <c r="M182" s="14"/>
      <c r="N182" s="13" t="str">
        <f aca="false">IF(COUNTA($A182,$D182:$I182,$K182:$M182)=0,"",IF($A182="","Add Loan UID",IF(ISNA(MATCH($A182,'Loans (reference)'!$A$2:$A$500,0)),"UID not in Loans tab",IF($D182="","Add payment no.",IF(COUNTIFS($A$2:$A$300,$A182,$D$2:$D$300,$D182)&gt;1,"Duplicate payment no.",IF($E182="","Add payment date",IF(COUNT($F182:$H182)=0,"Add an amount","Ready")))))))</f>
        <v/>
      </c>
      <c r="O182" s="18"/>
      <c r="P182" s="19"/>
    </row>
    <row r="183" customFormat="false" ht="15" hidden="false" customHeight="false" outlineLevel="0" collapsed="false">
      <c r="A183" s="12"/>
      <c r="B183" s="13" t="str">
        <f aca="false">IF($A183="","",IFERROR(INDEX('Loans (reference)'!$B$2:$B$500,MATCH($A183,'Loans (reference)'!$A$2:$A$500,0)),"not found"))</f>
        <v/>
      </c>
      <c r="C183" s="13" t="str">
        <f aca="false">IF($A183="","",IFERROR(INDEX('Loans (reference)'!$K$2:$K$500,MATCH($A183,'Loans (reference)'!$A$2:$A$500,0)),""))</f>
        <v/>
      </c>
      <c r="D183" s="14"/>
      <c r="E183" s="15"/>
      <c r="F183" s="16"/>
      <c r="G183" s="16"/>
      <c r="H183" s="16"/>
      <c r="I183" s="16"/>
      <c r="J183" s="17" t="str">
        <f aca="false">IF(COUNT($F183:$H183)=0,"",SUM($F183:$H183))</f>
        <v/>
      </c>
      <c r="K183" s="14"/>
      <c r="L183" s="14"/>
      <c r="M183" s="14"/>
      <c r="N183" s="13" t="str">
        <f aca="false">IF(COUNTA($A183,$D183:$I183,$K183:$M183)=0,"",IF($A183="","Add Loan UID",IF(ISNA(MATCH($A183,'Loans (reference)'!$A$2:$A$500,0)),"UID not in Loans tab",IF($D183="","Add payment no.",IF(COUNTIFS($A$2:$A$300,$A183,$D$2:$D$300,$D183)&gt;1,"Duplicate payment no.",IF($E183="","Add payment date",IF(COUNT($F183:$H183)=0,"Add an amount","Ready")))))))</f>
        <v/>
      </c>
      <c r="O183" s="18"/>
      <c r="P183" s="19"/>
    </row>
    <row r="184" customFormat="false" ht="15" hidden="false" customHeight="false" outlineLevel="0" collapsed="false">
      <c r="A184" s="12"/>
      <c r="B184" s="13" t="str">
        <f aca="false">IF($A184="","",IFERROR(INDEX('Loans (reference)'!$B$2:$B$500,MATCH($A184,'Loans (reference)'!$A$2:$A$500,0)),"not found"))</f>
        <v/>
      </c>
      <c r="C184" s="13" t="str">
        <f aca="false">IF($A184="","",IFERROR(INDEX('Loans (reference)'!$K$2:$K$500,MATCH($A184,'Loans (reference)'!$A$2:$A$500,0)),""))</f>
        <v/>
      </c>
      <c r="D184" s="14"/>
      <c r="E184" s="15"/>
      <c r="F184" s="16"/>
      <c r="G184" s="16"/>
      <c r="H184" s="16"/>
      <c r="I184" s="16"/>
      <c r="J184" s="17" t="str">
        <f aca="false">IF(COUNT($F184:$H184)=0,"",SUM($F184:$H184))</f>
        <v/>
      </c>
      <c r="K184" s="14"/>
      <c r="L184" s="14"/>
      <c r="M184" s="14"/>
      <c r="N184" s="13" t="str">
        <f aca="false">IF(COUNTA($A184,$D184:$I184,$K184:$M184)=0,"",IF($A184="","Add Loan UID",IF(ISNA(MATCH($A184,'Loans (reference)'!$A$2:$A$500,0)),"UID not in Loans tab",IF($D184="","Add payment no.",IF(COUNTIFS($A$2:$A$300,$A184,$D$2:$D$300,$D184)&gt;1,"Duplicate payment no.",IF($E184="","Add payment date",IF(COUNT($F184:$H184)=0,"Add an amount","Ready")))))))</f>
        <v/>
      </c>
      <c r="O184" s="18"/>
      <c r="P184" s="19"/>
    </row>
    <row r="185" customFormat="false" ht="15" hidden="false" customHeight="false" outlineLevel="0" collapsed="false">
      <c r="A185" s="12"/>
      <c r="B185" s="13" t="str">
        <f aca="false">IF($A185="","",IFERROR(INDEX('Loans (reference)'!$B$2:$B$500,MATCH($A185,'Loans (reference)'!$A$2:$A$500,0)),"not found"))</f>
        <v/>
      </c>
      <c r="C185" s="13" t="str">
        <f aca="false">IF($A185="","",IFERROR(INDEX('Loans (reference)'!$K$2:$K$500,MATCH($A185,'Loans (reference)'!$A$2:$A$500,0)),""))</f>
        <v/>
      </c>
      <c r="D185" s="14"/>
      <c r="E185" s="15"/>
      <c r="F185" s="16"/>
      <c r="G185" s="16"/>
      <c r="H185" s="16"/>
      <c r="I185" s="16"/>
      <c r="J185" s="17" t="str">
        <f aca="false">IF(COUNT($F185:$H185)=0,"",SUM($F185:$H185))</f>
        <v/>
      </c>
      <c r="K185" s="14"/>
      <c r="L185" s="14"/>
      <c r="M185" s="14"/>
      <c r="N185" s="13" t="str">
        <f aca="false">IF(COUNTA($A185,$D185:$I185,$K185:$M185)=0,"",IF($A185="","Add Loan UID",IF(ISNA(MATCH($A185,'Loans (reference)'!$A$2:$A$500,0)),"UID not in Loans tab",IF($D185="","Add payment no.",IF(COUNTIFS($A$2:$A$300,$A185,$D$2:$D$300,$D185)&gt;1,"Duplicate payment no.",IF($E185="","Add payment date",IF(COUNT($F185:$H185)=0,"Add an amount","Ready")))))))</f>
        <v/>
      </c>
      <c r="O185" s="18"/>
      <c r="P185" s="19"/>
    </row>
    <row r="186" customFormat="false" ht="15" hidden="false" customHeight="false" outlineLevel="0" collapsed="false">
      <c r="A186" s="12"/>
      <c r="B186" s="13" t="str">
        <f aca="false">IF($A186="","",IFERROR(INDEX('Loans (reference)'!$B$2:$B$500,MATCH($A186,'Loans (reference)'!$A$2:$A$500,0)),"not found"))</f>
        <v/>
      </c>
      <c r="C186" s="13" t="str">
        <f aca="false">IF($A186="","",IFERROR(INDEX('Loans (reference)'!$K$2:$K$500,MATCH($A186,'Loans (reference)'!$A$2:$A$500,0)),""))</f>
        <v/>
      </c>
      <c r="D186" s="14"/>
      <c r="E186" s="15"/>
      <c r="F186" s="16"/>
      <c r="G186" s="16"/>
      <c r="H186" s="16"/>
      <c r="I186" s="16"/>
      <c r="J186" s="17" t="str">
        <f aca="false">IF(COUNT($F186:$H186)=0,"",SUM($F186:$H186))</f>
        <v/>
      </c>
      <c r="K186" s="14"/>
      <c r="L186" s="14"/>
      <c r="M186" s="14"/>
      <c r="N186" s="13" t="str">
        <f aca="false">IF(COUNTA($A186,$D186:$I186,$K186:$M186)=0,"",IF($A186="","Add Loan UID",IF(ISNA(MATCH($A186,'Loans (reference)'!$A$2:$A$500,0)),"UID not in Loans tab",IF($D186="","Add payment no.",IF(COUNTIFS($A$2:$A$300,$A186,$D$2:$D$300,$D186)&gt;1,"Duplicate payment no.",IF($E186="","Add payment date",IF(COUNT($F186:$H186)=0,"Add an amount","Ready")))))))</f>
        <v/>
      </c>
      <c r="O186" s="18"/>
      <c r="P186" s="19"/>
    </row>
    <row r="187" customFormat="false" ht="15" hidden="false" customHeight="false" outlineLevel="0" collapsed="false">
      <c r="A187" s="12"/>
      <c r="B187" s="13" t="str">
        <f aca="false">IF($A187="","",IFERROR(INDEX('Loans (reference)'!$B$2:$B$500,MATCH($A187,'Loans (reference)'!$A$2:$A$500,0)),"not found"))</f>
        <v/>
      </c>
      <c r="C187" s="13" t="str">
        <f aca="false">IF($A187="","",IFERROR(INDEX('Loans (reference)'!$K$2:$K$500,MATCH($A187,'Loans (reference)'!$A$2:$A$500,0)),""))</f>
        <v/>
      </c>
      <c r="D187" s="14"/>
      <c r="E187" s="15"/>
      <c r="F187" s="16"/>
      <c r="G187" s="16"/>
      <c r="H187" s="16"/>
      <c r="I187" s="16"/>
      <c r="J187" s="17" t="str">
        <f aca="false">IF(COUNT($F187:$H187)=0,"",SUM($F187:$H187))</f>
        <v/>
      </c>
      <c r="K187" s="14"/>
      <c r="L187" s="14"/>
      <c r="M187" s="14"/>
      <c r="N187" s="13" t="str">
        <f aca="false">IF(COUNTA($A187,$D187:$I187,$K187:$M187)=0,"",IF($A187="","Add Loan UID",IF(ISNA(MATCH($A187,'Loans (reference)'!$A$2:$A$500,0)),"UID not in Loans tab",IF($D187="","Add payment no.",IF(COUNTIFS($A$2:$A$300,$A187,$D$2:$D$300,$D187)&gt;1,"Duplicate payment no.",IF($E187="","Add payment date",IF(COUNT($F187:$H187)=0,"Add an amount","Ready")))))))</f>
        <v/>
      </c>
      <c r="O187" s="18"/>
      <c r="P187" s="19"/>
    </row>
    <row r="188" customFormat="false" ht="15" hidden="false" customHeight="false" outlineLevel="0" collapsed="false">
      <c r="A188" s="12"/>
      <c r="B188" s="13" t="str">
        <f aca="false">IF($A188="","",IFERROR(INDEX('Loans (reference)'!$B$2:$B$500,MATCH($A188,'Loans (reference)'!$A$2:$A$500,0)),"not found"))</f>
        <v/>
      </c>
      <c r="C188" s="13" t="str">
        <f aca="false">IF($A188="","",IFERROR(INDEX('Loans (reference)'!$K$2:$K$500,MATCH($A188,'Loans (reference)'!$A$2:$A$500,0)),""))</f>
        <v/>
      </c>
      <c r="D188" s="14"/>
      <c r="E188" s="15"/>
      <c r="F188" s="16"/>
      <c r="G188" s="16"/>
      <c r="H188" s="16"/>
      <c r="I188" s="16"/>
      <c r="J188" s="17" t="str">
        <f aca="false">IF(COUNT($F188:$H188)=0,"",SUM($F188:$H188))</f>
        <v/>
      </c>
      <c r="K188" s="14"/>
      <c r="L188" s="14"/>
      <c r="M188" s="14"/>
      <c r="N188" s="13" t="str">
        <f aca="false">IF(COUNTA($A188,$D188:$I188,$K188:$M188)=0,"",IF($A188="","Add Loan UID",IF(ISNA(MATCH($A188,'Loans (reference)'!$A$2:$A$500,0)),"UID not in Loans tab",IF($D188="","Add payment no.",IF(COUNTIFS($A$2:$A$300,$A188,$D$2:$D$300,$D188)&gt;1,"Duplicate payment no.",IF($E188="","Add payment date",IF(COUNT($F188:$H188)=0,"Add an amount","Ready")))))))</f>
        <v/>
      </c>
      <c r="O188" s="18"/>
      <c r="P188" s="19"/>
    </row>
    <row r="189" customFormat="false" ht="15" hidden="false" customHeight="false" outlineLevel="0" collapsed="false">
      <c r="A189" s="12"/>
      <c r="B189" s="13" t="str">
        <f aca="false">IF($A189="","",IFERROR(INDEX('Loans (reference)'!$B$2:$B$500,MATCH($A189,'Loans (reference)'!$A$2:$A$500,0)),"not found"))</f>
        <v/>
      </c>
      <c r="C189" s="13" t="str">
        <f aca="false">IF($A189="","",IFERROR(INDEX('Loans (reference)'!$K$2:$K$500,MATCH($A189,'Loans (reference)'!$A$2:$A$500,0)),""))</f>
        <v/>
      </c>
      <c r="D189" s="14"/>
      <c r="E189" s="15"/>
      <c r="F189" s="16"/>
      <c r="G189" s="16"/>
      <c r="H189" s="16"/>
      <c r="I189" s="16"/>
      <c r="J189" s="17" t="str">
        <f aca="false">IF(COUNT($F189:$H189)=0,"",SUM($F189:$H189))</f>
        <v/>
      </c>
      <c r="K189" s="14"/>
      <c r="L189" s="14"/>
      <c r="M189" s="14"/>
      <c r="N189" s="13" t="str">
        <f aca="false">IF(COUNTA($A189,$D189:$I189,$K189:$M189)=0,"",IF($A189="","Add Loan UID",IF(ISNA(MATCH($A189,'Loans (reference)'!$A$2:$A$500,0)),"UID not in Loans tab",IF($D189="","Add payment no.",IF(COUNTIFS($A$2:$A$300,$A189,$D$2:$D$300,$D189)&gt;1,"Duplicate payment no.",IF($E189="","Add payment date",IF(COUNT($F189:$H189)=0,"Add an amount","Ready")))))))</f>
        <v/>
      </c>
      <c r="O189" s="18"/>
      <c r="P189" s="19"/>
    </row>
    <row r="190" customFormat="false" ht="15" hidden="false" customHeight="false" outlineLevel="0" collapsed="false">
      <c r="A190" s="12"/>
      <c r="B190" s="13" t="str">
        <f aca="false">IF($A190="","",IFERROR(INDEX('Loans (reference)'!$B$2:$B$500,MATCH($A190,'Loans (reference)'!$A$2:$A$500,0)),"not found"))</f>
        <v/>
      </c>
      <c r="C190" s="13" t="str">
        <f aca="false">IF($A190="","",IFERROR(INDEX('Loans (reference)'!$K$2:$K$500,MATCH($A190,'Loans (reference)'!$A$2:$A$500,0)),""))</f>
        <v/>
      </c>
      <c r="D190" s="14"/>
      <c r="E190" s="15"/>
      <c r="F190" s="16"/>
      <c r="G190" s="16"/>
      <c r="H190" s="16"/>
      <c r="I190" s="16"/>
      <c r="J190" s="17" t="str">
        <f aca="false">IF(COUNT($F190:$H190)=0,"",SUM($F190:$H190))</f>
        <v/>
      </c>
      <c r="K190" s="14"/>
      <c r="L190" s="14"/>
      <c r="M190" s="14"/>
      <c r="N190" s="13" t="str">
        <f aca="false">IF(COUNTA($A190,$D190:$I190,$K190:$M190)=0,"",IF($A190="","Add Loan UID",IF(ISNA(MATCH($A190,'Loans (reference)'!$A$2:$A$500,0)),"UID not in Loans tab",IF($D190="","Add payment no.",IF(COUNTIFS($A$2:$A$300,$A190,$D$2:$D$300,$D190)&gt;1,"Duplicate payment no.",IF($E190="","Add payment date",IF(COUNT($F190:$H190)=0,"Add an amount","Ready")))))))</f>
        <v/>
      </c>
      <c r="O190" s="18"/>
      <c r="P190" s="19"/>
    </row>
    <row r="191" customFormat="false" ht="15" hidden="false" customHeight="false" outlineLevel="0" collapsed="false">
      <c r="A191" s="12"/>
      <c r="B191" s="13" t="str">
        <f aca="false">IF($A191="","",IFERROR(INDEX('Loans (reference)'!$B$2:$B$500,MATCH($A191,'Loans (reference)'!$A$2:$A$500,0)),"not found"))</f>
        <v/>
      </c>
      <c r="C191" s="13" t="str">
        <f aca="false">IF($A191="","",IFERROR(INDEX('Loans (reference)'!$K$2:$K$500,MATCH($A191,'Loans (reference)'!$A$2:$A$500,0)),""))</f>
        <v/>
      </c>
      <c r="D191" s="14"/>
      <c r="E191" s="15"/>
      <c r="F191" s="16"/>
      <c r="G191" s="16"/>
      <c r="H191" s="16"/>
      <c r="I191" s="16"/>
      <c r="J191" s="17" t="str">
        <f aca="false">IF(COUNT($F191:$H191)=0,"",SUM($F191:$H191))</f>
        <v/>
      </c>
      <c r="K191" s="14"/>
      <c r="L191" s="14"/>
      <c r="M191" s="14"/>
      <c r="N191" s="13" t="str">
        <f aca="false">IF(COUNTA($A191,$D191:$I191,$K191:$M191)=0,"",IF($A191="","Add Loan UID",IF(ISNA(MATCH($A191,'Loans (reference)'!$A$2:$A$500,0)),"UID not in Loans tab",IF($D191="","Add payment no.",IF(COUNTIFS($A$2:$A$300,$A191,$D$2:$D$300,$D191)&gt;1,"Duplicate payment no.",IF($E191="","Add payment date",IF(COUNT($F191:$H191)=0,"Add an amount","Ready")))))))</f>
        <v/>
      </c>
      <c r="O191" s="18"/>
      <c r="P191" s="19"/>
    </row>
    <row r="192" customFormat="false" ht="15" hidden="false" customHeight="false" outlineLevel="0" collapsed="false">
      <c r="A192" s="12"/>
      <c r="B192" s="13" t="str">
        <f aca="false">IF($A192="","",IFERROR(INDEX('Loans (reference)'!$B$2:$B$500,MATCH($A192,'Loans (reference)'!$A$2:$A$500,0)),"not found"))</f>
        <v/>
      </c>
      <c r="C192" s="13" t="str">
        <f aca="false">IF($A192="","",IFERROR(INDEX('Loans (reference)'!$K$2:$K$500,MATCH($A192,'Loans (reference)'!$A$2:$A$500,0)),""))</f>
        <v/>
      </c>
      <c r="D192" s="14"/>
      <c r="E192" s="15"/>
      <c r="F192" s="16"/>
      <c r="G192" s="16"/>
      <c r="H192" s="16"/>
      <c r="I192" s="16"/>
      <c r="J192" s="17" t="str">
        <f aca="false">IF(COUNT($F192:$H192)=0,"",SUM($F192:$H192))</f>
        <v/>
      </c>
      <c r="K192" s="14"/>
      <c r="L192" s="14"/>
      <c r="M192" s="14"/>
      <c r="N192" s="13" t="str">
        <f aca="false">IF(COUNTA($A192,$D192:$I192,$K192:$M192)=0,"",IF($A192="","Add Loan UID",IF(ISNA(MATCH($A192,'Loans (reference)'!$A$2:$A$500,0)),"UID not in Loans tab",IF($D192="","Add payment no.",IF(COUNTIFS($A$2:$A$300,$A192,$D$2:$D$300,$D192)&gt;1,"Duplicate payment no.",IF($E192="","Add payment date",IF(COUNT($F192:$H192)=0,"Add an amount","Ready")))))))</f>
        <v/>
      </c>
      <c r="O192" s="18"/>
      <c r="P192" s="19"/>
    </row>
    <row r="193" customFormat="false" ht="15" hidden="false" customHeight="false" outlineLevel="0" collapsed="false">
      <c r="A193" s="12"/>
      <c r="B193" s="13" t="str">
        <f aca="false">IF($A193="","",IFERROR(INDEX('Loans (reference)'!$B$2:$B$500,MATCH($A193,'Loans (reference)'!$A$2:$A$500,0)),"not found"))</f>
        <v/>
      </c>
      <c r="C193" s="13" t="str">
        <f aca="false">IF($A193="","",IFERROR(INDEX('Loans (reference)'!$K$2:$K$500,MATCH($A193,'Loans (reference)'!$A$2:$A$500,0)),""))</f>
        <v/>
      </c>
      <c r="D193" s="14"/>
      <c r="E193" s="15"/>
      <c r="F193" s="16"/>
      <c r="G193" s="16"/>
      <c r="H193" s="16"/>
      <c r="I193" s="16"/>
      <c r="J193" s="17" t="str">
        <f aca="false">IF(COUNT($F193:$H193)=0,"",SUM($F193:$H193))</f>
        <v/>
      </c>
      <c r="K193" s="14"/>
      <c r="L193" s="14"/>
      <c r="M193" s="14"/>
      <c r="N193" s="13" t="str">
        <f aca="false">IF(COUNTA($A193,$D193:$I193,$K193:$M193)=0,"",IF($A193="","Add Loan UID",IF(ISNA(MATCH($A193,'Loans (reference)'!$A$2:$A$500,0)),"UID not in Loans tab",IF($D193="","Add payment no.",IF(COUNTIFS($A$2:$A$300,$A193,$D$2:$D$300,$D193)&gt;1,"Duplicate payment no.",IF($E193="","Add payment date",IF(COUNT($F193:$H193)=0,"Add an amount","Ready")))))))</f>
        <v/>
      </c>
      <c r="O193" s="18"/>
      <c r="P193" s="19"/>
    </row>
    <row r="194" customFormat="false" ht="15" hidden="false" customHeight="false" outlineLevel="0" collapsed="false">
      <c r="A194" s="12"/>
      <c r="B194" s="13" t="str">
        <f aca="false">IF($A194="","",IFERROR(INDEX('Loans (reference)'!$B$2:$B$500,MATCH($A194,'Loans (reference)'!$A$2:$A$500,0)),"not found"))</f>
        <v/>
      </c>
      <c r="C194" s="13" t="str">
        <f aca="false">IF($A194="","",IFERROR(INDEX('Loans (reference)'!$K$2:$K$500,MATCH($A194,'Loans (reference)'!$A$2:$A$500,0)),""))</f>
        <v/>
      </c>
      <c r="D194" s="14"/>
      <c r="E194" s="15"/>
      <c r="F194" s="16"/>
      <c r="G194" s="16"/>
      <c r="H194" s="16"/>
      <c r="I194" s="16"/>
      <c r="J194" s="17" t="str">
        <f aca="false">IF(COUNT($F194:$H194)=0,"",SUM($F194:$H194))</f>
        <v/>
      </c>
      <c r="K194" s="14"/>
      <c r="L194" s="14"/>
      <c r="M194" s="14"/>
      <c r="N194" s="13" t="str">
        <f aca="false">IF(COUNTA($A194,$D194:$I194,$K194:$M194)=0,"",IF($A194="","Add Loan UID",IF(ISNA(MATCH($A194,'Loans (reference)'!$A$2:$A$500,0)),"UID not in Loans tab",IF($D194="","Add payment no.",IF(COUNTIFS($A$2:$A$300,$A194,$D$2:$D$300,$D194)&gt;1,"Duplicate payment no.",IF($E194="","Add payment date",IF(COUNT($F194:$H194)=0,"Add an amount","Ready")))))))</f>
        <v/>
      </c>
      <c r="O194" s="18"/>
      <c r="P194" s="19"/>
    </row>
    <row r="195" customFormat="false" ht="15" hidden="false" customHeight="false" outlineLevel="0" collapsed="false">
      <c r="A195" s="12"/>
      <c r="B195" s="13" t="str">
        <f aca="false">IF($A195="","",IFERROR(INDEX('Loans (reference)'!$B$2:$B$500,MATCH($A195,'Loans (reference)'!$A$2:$A$500,0)),"not found"))</f>
        <v/>
      </c>
      <c r="C195" s="13" t="str">
        <f aca="false">IF($A195="","",IFERROR(INDEX('Loans (reference)'!$K$2:$K$500,MATCH($A195,'Loans (reference)'!$A$2:$A$500,0)),""))</f>
        <v/>
      </c>
      <c r="D195" s="14"/>
      <c r="E195" s="15"/>
      <c r="F195" s="16"/>
      <c r="G195" s="16"/>
      <c r="H195" s="16"/>
      <c r="I195" s="16"/>
      <c r="J195" s="17" t="str">
        <f aca="false">IF(COUNT($F195:$H195)=0,"",SUM($F195:$H195))</f>
        <v/>
      </c>
      <c r="K195" s="14"/>
      <c r="L195" s="14"/>
      <c r="M195" s="14"/>
      <c r="N195" s="13" t="str">
        <f aca="false">IF(COUNTA($A195,$D195:$I195,$K195:$M195)=0,"",IF($A195="","Add Loan UID",IF(ISNA(MATCH($A195,'Loans (reference)'!$A$2:$A$500,0)),"UID not in Loans tab",IF($D195="","Add payment no.",IF(COUNTIFS($A$2:$A$300,$A195,$D$2:$D$300,$D195)&gt;1,"Duplicate payment no.",IF($E195="","Add payment date",IF(COUNT($F195:$H195)=0,"Add an amount","Ready")))))))</f>
        <v/>
      </c>
      <c r="O195" s="18"/>
      <c r="P195" s="19"/>
    </row>
    <row r="196" customFormat="false" ht="15" hidden="false" customHeight="false" outlineLevel="0" collapsed="false">
      <c r="A196" s="12"/>
      <c r="B196" s="13" t="str">
        <f aca="false">IF($A196="","",IFERROR(INDEX('Loans (reference)'!$B$2:$B$500,MATCH($A196,'Loans (reference)'!$A$2:$A$500,0)),"not found"))</f>
        <v/>
      </c>
      <c r="C196" s="13" t="str">
        <f aca="false">IF($A196="","",IFERROR(INDEX('Loans (reference)'!$K$2:$K$500,MATCH($A196,'Loans (reference)'!$A$2:$A$500,0)),""))</f>
        <v/>
      </c>
      <c r="D196" s="14"/>
      <c r="E196" s="15"/>
      <c r="F196" s="16"/>
      <c r="G196" s="16"/>
      <c r="H196" s="16"/>
      <c r="I196" s="16"/>
      <c r="J196" s="17" t="str">
        <f aca="false">IF(COUNT($F196:$H196)=0,"",SUM($F196:$H196))</f>
        <v/>
      </c>
      <c r="K196" s="14"/>
      <c r="L196" s="14"/>
      <c r="M196" s="14"/>
      <c r="N196" s="13" t="str">
        <f aca="false">IF(COUNTA($A196,$D196:$I196,$K196:$M196)=0,"",IF($A196="","Add Loan UID",IF(ISNA(MATCH($A196,'Loans (reference)'!$A$2:$A$500,0)),"UID not in Loans tab",IF($D196="","Add payment no.",IF(COUNTIFS($A$2:$A$300,$A196,$D$2:$D$300,$D196)&gt;1,"Duplicate payment no.",IF($E196="","Add payment date",IF(COUNT($F196:$H196)=0,"Add an amount","Ready")))))))</f>
        <v/>
      </c>
      <c r="O196" s="18"/>
      <c r="P196" s="19"/>
    </row>
    <row r="197" customFormat="false" ht="15" hidden="false" customHeight="false" outlineLevel="0" collapsed="false">
      <c r="A197" s="12"/>
      <c r="B197" s="13" t="str">
        <f aca="false">IF($A197="","",IFERROR(INDEX('Loans (reference)'!$B$2:$B$500,MATCH($A197,'Loans (reference)'!$A$2:$A$500,0)),"not found"))</f>
        <v/>
      </c>
      <c r="C197" s="13" t="str">
        <f aca="false">IF($A197="","",IFERROR(INDEX('Loans (reference)'!$K$2:$K$500,MATCH($A197,'Loans (reference)'!$A$2:$A$500,0)),""))</f>
        <v/>
      </c>
      <c r="D197" s="14"/>
      <c r="E197" s="15"/>
      <c r="F197" s="16"/>
      <c r="G197" s="16"/>
      <c r="H197" s="16"/>
      <c r="I197" s="16"/>
      <c r="J197" s="17" t="str">
        <f aca="false">IF(COUNT($F197:$H197)=0,"",SUM($F197:$H197))</f>
        <v/>
      </c>
      <c r="K197" s="14"/>
      <c r="L197" s="14"/>
      <c r="M197" s="14"/>
      <c r="N197" s="13" t="str">
        <f aca="false">IF(COUNTA($A197,$D197:$I197,$K197:$M197)=0,"",IF($A197="","Add Loan UID",IF(ISNA(MATCH($A197,'Loans (reference)'!$A$2:$A$500,0)),"UID not in Loans tab",IF($D197="","Add payment no.",IF(COUNTIFS($A$2:$A$300,$A197,$D$2:$D$300,$D197)&gt;1,"Duplicate payment no.",IF($E197="","Add payment date",IF(COUNT($F197:$H197)=0,"Add an amount","Ready")))))))</f>
        <v/>
      </c>
      <c r="O197" s="18"/>
      <c r="P197" s="19"/>
    </row>
    <row r="198" customFormat="false" ht="15" hidden="false" customHeight="false" outlineLevel="0" collapsed="false">
      <c r="A198" s="12"/>
      <c r="B198" s="13" t="str">
        <f aca="false">IF($A198="","",IFERROR(INDEX('Loans (reference)'!$B$2:$B$500,MATCH($A198,'Loans (reference)'!$A$2:$A$500,0)),"not found"))</f>
        <v/>
      </c>
      <c r="C198" s="13" t="str">
        <f aca="false">IF($A198="","",IFERROR(INDEX('Loans (reference)'!$K$2:$K$500,MATCH($A198,'Loans (reference)'!$A$2:$A$500,0)),""))</f>
        <v/>
      </c>
      <c r="D198" s="14"/>
      <c r="E198" s="15"/>
      <c r="F198" s="16"/>
      <c r="G198" s="16"/>
      <c r="H198" s="16"/>
      <c r="I198" s="16"/>
      <c r="J198" s="17" t="str">
        <f aca="false">IF(COUNT($F198:$H198)=0,"",SUM($F198:$H198))</f>
        <v/>
      </c>
      <c r="K198" s="14"/>
      <c r="L198" s="14"/>
      <c r="M198" s="14"/>
      <c r="N198" s="13" t="str">
        <f aca="false">IF(COUNTA($A198,$D198:$I198,$K198:$M198)=0,"",IF($A198="","Add Loan UID",IF(ISNA(MATCH($A198,'Loans (reference)'!$A$2:$A$500,0)),"UID not in Loans tab",IF($D198="","Add payment no.",IF(COUNTIFS($A$2:$A$300,$A198,$D$2:$D$300,$D198)&gt;1,"Duplicate payment no.",IF($E198="","Add payment date",IF(COUNT($F198:$H198)=0,"Add an amount","Ready")))))))</f>
        <v/>
      </c>
      <c r="O198" s="18"/>
      <c r="P198" s="19"/>
    </row>
    <row r="199" customFormat="false" ht="15" hidden="false" customHeight="false" outlineLevel="0" collapsed="false">
      <c r="A199" s="12"/>
      <c r="B199" s="13" t="str">
        <f aca="false">IF($A199="","",IFERROR(INDEX('Loans (reference)'!$B$2:$B$500,MATCH($A199,'Loans (reference)'!$A$2:$A$500,0)),"not found"))</f>
        <v/>
      </c>
      <c r="C199" s="13" t="str">
        <f aca="false">IF($A199="","",IFERROR(INDEX('Loans (reference)'!$K$2:$K$500,MATCH($A199,'Loans (reference)'!$A$2:$A$500,0)),""))</f>
        <v/>
      </c>
      <c r="D199" s="14"/>
      <c r="E199" s="15"/>
      <c r="F199" s="16"/>
      <c r="G199" s="16"/>
      <c r="H199" s="16"/>
      <c r="I199" s="16"/>
      <c r="J199" s="17" t="str">
        <f aca="false">IF(COUNT($F199:$H199)=0,"",SUM($F199:$H199))</f>
        <v/>
      </c>
      <c r="K199" s="14"/>
      <c r="L199" s="14"/>
      <c r="M199" s="14"/>
      <c r="N199" s="13" t="str">
        <f aca="false">IF(COUNTA($A199,$D199:$I199,$K199:$M199)=0,"",IF($A199="","Add Loan UID",IF(ISNA(MATCH($A199,'Loans (reference)'!$A$2:$A$500,0)),"UID not in Loans tab",IF($D199="","Add payment no.",IF(COUNTIFS($A$2:$A$300,$A199,$D$2:$D$300,$D199)&gt;1,"Duplicate payment no.",IF($E199="","Add payment date",IF(COUNT($F199:$H199)=0,"Add an amount","Ready")))))))</f>
        <v/>
      </c>
      <c r="O199" s="18"/>
      <c r="P199" s="19"/>
    </row>
    <row r="200" customFormat="false" ht="15" hidden="false" customHeight="false" outlineLevel="0" collapsed="false">
      <c r="A200" s="12"/>
      <c r="B200" s="13" t="str">
        <f aca="false">IF($A200="","",IFERROR(INDEX('Loans (reference)'!$B$2:$B$500,MATCH($A200,'Loans (reference)'!$A$2:$A$500,0)),"not found"))</f>
        <v/>
      </c>
      <c r="C200" s="13" t="str">
        <f aca="false">IF($A200="","",IFERROR(INDEX('Loans (reference)'!$K$2:$K$500,MATCH($A200,'Loans (reference)'!$A$2:$A$500,0)),""))</f>
        <v/>
      </c>
      <c r="D200" s="14"/>
      <c r="E200" s="15"/>
      <c r="F200" s="16"/>
      <c r="G200" s="16"/>
      <c r="H200" s="16"/>
      <c r="I200" s="16"/>
      <c r="J200" s="17" t="str">
        <f aca="false">IF(COUNT($F200:$H200)=0,"",SUM($F200:$H200))</f>
        <v/>
      </c>
      <c r="K200" s="14"/>
      <c r="L200" s="14"/>
      <c r="M200" s="14"/>
      <c r="N200" s="13" t="str">
        <f aca="false">IF(COUNTA($A200,$D200:$I200,$K200:$M200)=0,"",IF($A200="","Add Loan UID",IF(ISNA(MATCH($A200,'Loans (reference)'!$A$2:$A$500,0)),"UID not in Loans tab",IF($D200="","Add payment no.",IF(COUNTIFS($A$2:$A$300,$A200,$D$2:$D$300,$D200)&gt;1,"Duplicate payment no.",IF($E200="","Add payment date",IF(COUNT($F200:$H200)=0,"Add an amount","Ready")))))))</f>
        <v/>
      </c>
      <c r="O200" s="18"/>
      <c r="P200" s="19"/>
    </row>
    <row r="201" customFormat="false" ht="15" hidden="false" customHeight="false" outlineLevel="0" collapsed="false">
      <c r="A201" s="12"/>
      <c r="B201" s="13" t="str">
        <f aca="false">IF($A201="","",IFERROR(INDEX('Loans (reference)'!$B$2:$B$500,MATCH($A201,'Loans (reference)'!$A$2:$A$500,0)),"not found"))</f>
        <v/>
      </c>
      <c r="C201" s="13" t="str">
        <f aca="false">IF($A201="","",IFERROR(INDEX('Loans (reference)'!$K$2:$K$500,MATCH($A201,'Loans (reference)'!$A$2:$A$500,0)),""))</f>
        <v/>
      </c>
      <c r="D201" s="14"/>
      <c r="E201" s="15"/>
      <c r="F201" s="16"/>
      <c r="G201" s="16"/>
      <c r="H201" s="16"/>
      <c r="I201" s="16"/>
      <c r="J201" s="17" t="str">
        <f aca="false">IF(COUNT($F201:$H201)=0,"",SUM($F201:$H201))</f>
        <v/>
      </c>
      <c r="K201" s="14"/>
      <c r="L201" s="14"/>
      <c r="M201" s="14"/>
      <c r="N201" s="13" t="str">
        <f aca="false">IF(COUNTA($A201,$D201:$I201,$K201:$M201)=0,"",IF($A201="","Add Loan UID",IF(ISNA(MATCH($A201,'Loans (reference)'!$A$2:$A$500,0)),"UID not in Loans tab",IF($D201="","Add payment no.",IF(COUNTIFS($A$2:$A$300,$A201,$D$2:$D$300,$D201)&gt;1,"Duplicate payment no.",IF($E201="","Add payment date",IF(COUNT($F201:$H201)=0,"Add an amount","Ready")))))))</f>
        <v/>
      </c>
      <c r="O201" s="18"/>
      <c r="P201" s="19"/>
    </row>
    <row r="202" customFormat="false" ht="15" hidden="false" customHeight="false" outlineLevel="0" collapsed="false">
      <c r="A202" s="12"/>
      <c r="B202" s="13" t="str">
        <f aca="false">IF($A202="","",IFERROR(INDEX('Loans (reference)'!$B$2:$B$500,MATCH($A202,'Loans (reference)'!$A$2:$A$500,0)),"not found"))</f>
        <v/>
      </c>
      <c r="C202" s="13" t="str">
        <f aca="false">IF($A202="","",IFERROR(INDEX('Loans (reference)'!$K$2:$K$500,MATCH($A202,'Loans (reference)'!$A$2:$A$500,0)),""))</f>
        <v/>
      </c>
      <c r="D202" s="14"/>
      <c r="E202" s="15"/>
      <c r="F202" s="16"/>
      <c r="G202" s="16"/>
      <c r="H202" s="16"/>
      <c r="I202" s="16"/>
      <c r="J202" s="17" t="str">
        <f aca="false">IF(COUNT($F202:$H202)=0,"",SUM($F202:$H202))</f>
        <v/>
      </c>
      <c r="K202" s="14"/>
      <c r="L202" s="14"/>
      <c r="M202" s="14"/>
      <c r="N202" s="13" t="str">
        <f aca="false">IF(COUNTA($A202,$D202:$I202,$K202:$M202)=0,"",IF($A202="","Add Loan UID",IF(ISNA(MATCH($A202,'Loans (reference)'!$A$2:$A$500,0)),"UID not in Loans tab",IF($D202="","Add payment no.",IF(COUNTIFS($A$2:$A$300,$A202,$D$2:$D$300,$D202)&gt;1,"Duplicate payment no.",IF($E202="","Add payment date",IF(COUNT($F202:$H202)=0,"Add an amount","Ready")))))))</f>
        <v/>
      </c>
      <c r="O202" s="18"/>
      <c r="P202" s="19"/>
    </row>
    <row r="203" customFormat="false" ht="15" hidden="false" customHeight="false" outlineLevel="0" collapsed="false">
      <c r="A203" s="12"/>
      <c r="B203" s="13" t="str">
        <f aca="false">IF($A203="","",IFERROR(INDEX('Loans (reference)'!$B$2:$B$500,MATCH($A203,'Loans (reference)'!$A$2:$A$500,0)),"not found"))</f>
        <v/>
      </c>
      <c r="C203" s="13" t="str">
        <f aca="false">IF($A203="","",IFERROR(INDEX('Loans (reference)'!$K$2:$K$500,MATCH($A203,'Loans (reference)'!$A$2:$A$500,0)),""))</f>
        <v/>
      </c>
      <c r="D203" s="14"/>
      <c r="E203" s="15"/>
      <c r="F203" s="16"/>
      <c r="G203" s="16"/>
      <c r="H203" s="16"/>
      <c r="I203" s="16"/>
      <c r="J203" s="17" t="str">
        <f aca="false">IF(COUNT($F203:$H203)=0,"",SUM($F203:$H203))</f>
        <v/>
      </c>
      <c r="K203" s="14"/>
      <c r="L203" s="14"/>
      <c r="M203" s="14"/>
      <c r="N203" s="13" t="str">
        <f aca="false">IF(COUNTA($A203,$D203:$I203,$K203:$M203)=0,"",IF($A203="","Add Loan UID",IF(ISNA(MATCH($A203,'Loans (reference)'!$A$2:$A$500,0)),"UID not in Loans tab",IF($D203="","Add payment no.",IF(COUNTIFS($A$2:$A$300,$A203,$D$2:$D$300,$D203)&gt;1,"Duplicate payment no.",IF($E203="","Add payment date",IF(COUNT($F203:$H203)=0,"Add an amount","Ready")))))))</f>
        <v/>
      </c>
      <c r="O203" s="18"/>
      <c r="P203" s="19"/>
    </row>
    <row r="204" customFormat="false" ht="15" hidden="false" customHeight="false" outlineLevel="0" collapsed="false">
      <c r="A204" s="12"/>
      <c r="B204" s="13" t="str">
        <f aca="false">IF($A204="","",IFERROR(INDEX('Loans (reference)'!$B$2:$B$500,MATCH($A204,'Loans (reference)'!$A$2:$A$500,0)),"not found"))</f>
        <v/>
      </c>
      <c r="C204" s="13" t="str">
        <f aca="false">IF($A204="","",IFERROR(INDEX('Loans (reference)'!$K$2:$K$500,MATCH($A204,'Loans (reference)'!$A$2:$A$500,0)),""))</f>
        <v/>
      </c>
      <c r="D204" s="14"/>
      <c r="E204" s="15"/>
      <c r="F204" s="16"/>
      <c r="G204" s="16"/>
      <c r="H204" s="16"/>
      <c r="I204" s="16"/>
      <c r="J204" s="17" t="str">
        <f aca="false">IF(COUNT($F204:$H204)=0,"",SUM($F204:$H204))</f>
        <v/>
      </c>
      <c r="K204" s="14"/>
      <c r="L204" s="14"/>
      <c r="M204" s="14"/>
      <c r="N204" s="13" t="str">
        <f aca="false">IF(COUNTA($A204,$D204:$I204,$K204:$M204)=0,"",IF($A204="","Add Loan UID",IF(ISNA(MATCH($A204,'Loans (reference)'!$A$2:$A$500,0)),"UID not in Loans tab",IF($D204="","Add payment no.",IF(COUNTIFS($A$2:$A$300,$A204,$D$2:$D$300,$D204)&gt;1,"Duplicate payment no.",IF($E204="","Add payment date",IF(COUNT($F204:$H204)=0,"Add an amount","Ready")))))))</f>
        <v/>
      </c>
      <c r="O204" s="18"/>
      <c r="P204" s="19"/>
    </row>
    <row r="205" customFormat="false" ht="15" hidden="false" customHeight="false" outlineLevel="0" collapsed="false">
      <c r="A205" s="12"/>
      <c r="B205" s="13" t="str">
        <f aca="false">IF($A205="","",IFERROR(INDEX('Loans (reference)'!$B$2:$B$500,MATCH($A205,'Loans (reference)'!$A$2:$A$500,0)),"not found"))</f>
        <v/>
      </c>
      <c r="C205" s="13" t="str">
        <f aca="false">IF($A205="","",IFERROR(INDEX('Loans (reference)'!$K$2:$K$500,MATCH($A205,'Loans (reference)'!$A$2:$A$500,0)),""))</f>
        <v/>
      </c>
      <c r="D205" s="14"/>
      <c r="E205" s="15"/>
      <c r="F205" s="16"/>
      <c r="G205" s="16"/>
      <c r="H205" s="16"/>
      <c r="I205" s="16"/>
      <c r="J205" s="17" t="str">
        <f aca="false">IF(COUNT($F205:$H205)=0,"",SUM($F205:$H205))</f>
        <v/>
      </c>
      <c r="K205" s="14"/>
      <c r="L205" s="14"/>
      <c r="M205" s="14"/>
      <c r="N205" s="13" t="str">
        <f aca="false">IF(COUNTA($A205,$D205:$I205,$K205:$M205)=0,"",IF($A205="","Add Loan UID",IF(ISNA(MATCH($A205,'Loans (reference)'!$A$2:$A$500,0)),"UID not in Loans tab",IF($D205="","Add payment no.",IF(COUNTIFS($A$2:$A$300,$A205,$D$2:$D$300,$D205)&gt;1,"Duplicate payment no.",IF($E205="","Add payment date",IF(COUNT($F205:$H205)=0,"Add an amount","Ready")))))))</f>
        <v/>
      </c>
      <c r="O205" s="18"/>
      <c r="P205" s="19"/>
    </row>
    <row r="206" customFormat="false" ht="15" hidden="false" customHeight="false" outlineLevel="0" collapsed="false">
      <c r="A206" s="12"/>
      <c r="B206" s="13" t="str">
        <f aca="false">IF($A206="","",IFERROR(INDEX('Loans (reference)'!$B$2:$B$500,MATCH($A206,'Loans (reference)'!$A$2:$A$500,0)),"not found"))</f>
        <v/>
      </c>
      <c r="C206" s="13" t="str">
        <f aca="false">IF($A206="","",IFERROR(INDEX('Loans (reference)'!$K$2:$K$500,MATCH($A206,'Loans (reference)'!$A$2:$A$500,0)),""))</f>
        <v/>
      </c>
      <c r="D206" s="14"/>
      <c r="E206" s="15"/>
      <c r="F206" s="16"/>
      <c r="G206" s="16"/>
      <c r="H206" s="16"/>
      <c r="I206" s="16"/>
      <c r="J206" s="17" t="str">
        <f aca="false">IF(COUNT($F206:$H206)=0,"",SUM($F206:$H206))</f>
        <v/>
      </c>
      <c r="K206" s="14"/>
      <c r="L206" s="14"/>
      <c r="M206" s="14"/>
      <c r="N206" s="13" t="str">
        <f aca="false">IF(COUNTA($A206,$D206:$I206,$K206:$M206)=0,"",IF($A206="","Add Loan UID",IF(ISNA(MATCH($A206,'Loans (reference)'!$A$2:$A$500,0)),"UID not in Loans tab",IF($D206="","Add payment no.",IF(COUNTIFS($A$2:$A$300,$A206,$D$2:$D$300,$D206)&gt;1,"Duplicate payment no.",IF($E206="","Add payment date",IF(COUNT($F206:$H206)=0,"Add an amount","Ready")))))))</f>
        <v/>
      </c>
      <c r="O206" s="18"/>
      <c r="P206" s="19"/>
    </row>
    <row r="207" customFormat="false" ht="15" hidden="false" customHeight="false" outlineLevel="0" collapsed="false">
      <c r="A207" s="12"/>
      <c r="B207" s="13" t="str">
        <f aca="false">IF($A207="","",IFERROR(INDEX('Loans (reference)'!$B$2:$B$500,MATCH($A207,'Loans (reference)'!$A$2:$A$500,0)),"not found"))</f>
        <v/>
      </c>
      <c r="C207" s="13" t="str">
        <f aca="false">IF($A207="","",IFERROR(INDEX('Loans (reference)'!$K$2:$K$500,MATCH($A207,'Loans (reference)'!$A$2:$A$500,0)),""))</f>
        <v/>
      </c>
      <c r="D207" s="14"/>
      <c r="E207" s="15"/>
      <c r="F207" s="16"/>
      <c r="G207" s="16"/>
      <c r="H207" s="16"/>
      <c r="I207" s="16"/>
      <c r="J207" s="17" t="str">
        <f aca="false">IF(COUNT($F207:$H207)=0,"",SUM($F207:$H207))</f>
        <v/>
      </c>
      <c r="K207" s="14"/>
      <c r="L207" s="14"/>
      <c r="M207" s="14"/>
      <c r="N207" s="13" t="str">
        <f aca="false">IF(COUNTA($A207,$D207:$I207,$K207:$M207)=0,"",IF($A207="","Add Loan UID",IF(ISNA(MATCH($A207,'Loans (reference)'!$A$2:$A$500,0)),"UID not in Loans tab",IF($D207="","Add payment no.",IF(COUNTIFS($A$2:$A$300,$A207,$D$2:$D$300,$D207)&gt;1,"Duplicate payment no.",IF($E207="","Add payment date",IF(COUNT($F207:$H207)=0,"Add an amount","Ready")))))))</f>
        <v/>
      </c>
      <c r="O207" s="18"/>
      <c r="P207" s="19"/>
    </row>
    <row r="208" customFormat="false" ht="15" hidden="false" customHeight="false" outlineLevel="0" collapsed="false">
      <c r="A208" s="12"/>
      <c r="B208" s="13" t="str">
        <f aca="false">IF($A208="","",IFERROR(INDEX('Loans (reference)'!$B$2:$B$500,MATCH($A208,'Loans (reference)'!$A$2:$A$500,0)),"not found"))</f>
        <v/>
      </c>
      <c r="C208" s="13" t="str">
        <f aca="false">IF($A208="","",IFERROR(INDEX('Loans (reference)'!$K$2:$K$500,MATCH($A208,'Loans (reference)'!$A$2:$A$500,0)),""))</f>
        <v/>
      </c>
      <c r="D208" s="14"/>
      <c r="E208" s="15"/>
      <c r="F208" s="16"/>
      <c r="G208" s="16"/>
      <c r="H208" s="16"/>
      <c r="I208" s="16"/>
      <c r="J208" s="17" t="str">
        <f aca="false">IF(COUNT($F208:$H208)=0,"",SUM($F208:$H208))</f>
        <v/>
      </c>
      <c r="K208" s="14"/>
      <c r="L208" s="14"/>
      <c r="M208" s="14"/>
      <c r="N208" s="13" t="str">
        <f aca="false">IF(COUNTA($A208,$D208:$I208,$K208:$M208)=0,"",IF($A208="","Add Loan UID",IF(ISNA(MATCH($A208,'Loans (reference)'!$A$2:$A$500,0)),"UID not in Loans tab",IF($D208="","Add payment no.",IF(COUNTIFS($A$2:$A$300,$A208,$D$2:$D$300,$D208)&gt;1,"Duplicate payment no.",IF($E208="","Add payment date",IF(COUNT($F208:$H208)=0,"Add an amount","Ready")))))))</f>
        <v/>
      </c>
      <c r="O208" s="18"/>
      <c r="P208" s="19"/>
    </row>
    <row r="209" customFormat="false" ht="15" hidden="false" customHeight="false" outlineLevel="0" collapsed="false">
      <c r="A209" s="12"/>
      <c r="B209" s="13" t="str">
        <f aca="false">IF($A209="","",IFERROR(INDEX('Loans (reference)'!$B$2:$B$500,MATCH($A209,'Loans (reference)'!$A$2:$A$500,0)),"not found"))</f>
        <v/>
      </c>
      <c r="C209" s="13" t="str">
        <f aca="false">IF($A209="","",IFERROR(INDEX('Loans (reference)'!$K$2:$K$500,MATCH($A209,'Loans (reference)'!$A$2:$A$500,0)),""))</f>
        <v/>
      </c>
      <c r="D209" s="14"/>
      <c r="E209" s="15"/>
      <c r="F209" s="16"/>
      <c r="G209" s="16"/>
      <c r="H209" s="16"/>
      <c r="I209" s="16"/>
      <c r="J209" s="17" t="str">
        <f aca="false">IF(COUNT($F209:$H209)=0,"",SUM($F209:$H209))</f>
        <v/>
      </c>
      <c r="K209" s="14"/>
      <c r="L209" s="14"/>
      <c r="M209" s="14"/>
      <c r="N209" s="13" t="str">
        <f aca="false">IF(COUNTA($A209,$D209:$I209,$K209:$M209)=0,"",IF($A209="","Add Loan UID",IF(ISNA(MATCH($A209,'Loans (reference)'!$A$2:$A$500,0)),"UID not in Loans tab",IF($D209="","Add payment no.",IF(COUNTIFS($A$2:$A$300,$A209,$D$2:$D$300,$D209)&gt;1,"Duplicate payment no.",IF($E209="","Add payment date",IF(COUNT($F209:$H209)=0,"Add an amount","Ready")))))))</f>
        <v/>
      </c>
      <c r="O209" s="18"/>
      <c r="P209" s="19"/>
    </row>
    <row r="210" customFormat="false" ht="15" hidden="false" customHeight="false" outlineLevel="0" collapsed="false">
      <c r="A210" s="12"/>
      <c r="B210" s="13" t="str">
        <f aca="false">IF($A210="","",IFERROR(INDEX('Loans (reference)'!$B$2:$B$500,MATCH($A210,'Loans (reference)'!$A$2:$A$500,0)),"not found"))</f>
        <v/>
      </c>
      <c r="C210" s="13" t="str">
        <f aca="false">IF($A210="","",IFERROR(INDEX('Loans (reference)'!$K$2:$K$500,MATCH($A210,'Loans (reference)'!$A$2:$A$500,0)),""))</f>
        <v/>
      </c>
      <c r="D210" s="14"/>
      <c r="E210" s="15"/>
      <c r="F210" s="16"/>
      <c r="G210" s="16"/>
      <c r="H210" s="16"/>
      <c r="I210" s="16"/>
      <c r="J210" s="17" t="str">
        <f aca="false">IF(COUNT($F210:$H210)=0,"",SUM($F210:$H210))</f>
        <v/>
      </c>
      <c r="K210" s="14"/>
      <c r="L210" s="14"/>
      <c r="M210" s="14"/>
      <c r="N210" s="13" t="str">
        <f aca="false">IF(COUNTA($A210,$D210:$I210,$K210:$M210)=0,"",IF($A210="","Add Loan UID",IF(ISNA(MATCH($A210,'Loans (reference)'!$A$2:$A$500,0)),"UID not in Loans tab",IF($D210="","Add payment no.",IF(COUNTIFS($A$2:$A$300,$A210,$D$2:$D$300,$D210)&gt;1,"Duplicate payment no.",IF($E210="","Add payment date",IF(COUNT($F210:$H210)=0,"Add an amount","Ready")))))))</f>
        <v/>
      </c>
      <c r="O210" s="18"/>
      <c r="P210" s="19"/>
    </row>
    <row r="211" customFormat="false" ht="15" hidden="false" customHeight="false" outlineLevel="0" collapsed="false">
      <c r="A211" s="12"/>
      <c r="B211" s="13" t="str">
        <f aca="false">IF($A211="","",IFERROR(INDEX('Loans (reference)'!$B$2:$B$500,MATCH($A211,'Loans (reference)'!$A$2:$A$500,0)),"not found"))</f>
        <v/>
      </c>
      <c r="C211" s="13" t="str">
        <f aca="false">IF($A211="","",IFERROR(INDEX('Loans (reference)'!$K$2:$K$500,MATCH($A211,'Loans (reference)'!$A$2:$A$500,0)),""))</f>
        <v/>
      </c>
      <c r="D211" s="14"/>
      <c r="E211" s="15"/>
      <c r="F211" s="16"/>
      <c r="G211" s="16"/>
      <c r="H211" s="16"/>
      <c r="I211" s="16"/>
      <c r="J211" s="17" t="str">
        <f aca="false">IF(COUNT($F211:$H211)=0,"",SUM($F211:$H211))</f>
        <v/>
      </c>
      <c r="K211" s="14"/>
      <c r="L211" s="14"/>
      <c r="M211" s="14"/>
      <c r="N211" s="13" t="str">
        <f aca="false">IF(COUNTA($A211,$D211:$I211,$K211:$M211)=0,"",IF($A211="","Add Loan UID",IF(ISNA(MATCH($A211,'Loans (reference)'!$A$2:$A$500,0)),"UID not in Loans tab",IF($D211="","Add payment no.",IF(COUNTIFS($A$2:$A$300,$A211,$D$2:$D$300,$D211)&gt;1,"Duplicate payment no.",IF($E211="","Add payment date",IF(COUNT($F211:$H211)=0,"Add an amount","Ready")))))))</f>
        <v/>
      </c>
      <c r="O211" s="18"/>
      <c r="P211" s="19"/>
    </row>
    <row r="212" customFormat="false" ht="15" hidden="false" customHeight="false" outlineLevel="0" collapsed="false">
      <c r="A212" s="12"/>
      <c r="B212" s="13" t="str">
        <f aca="false">IF($A212="","",IFERROR(INDEX('Loans (reference)'!$B$2:$B$500,MATCH($A212,'Loans (reference)'!$A$2:$A$500,0)),"not found"))</f>
        <v/>
      </c>
      <c r="C212" s="13" t="str">
        <f aca="false">IF($A212="","",IFERROR(INDEX('Loans (reference)'!$K$2:$K$500,MATCH($A212,'Loans (reference)'!$A$2:$A$500,0)),""))</f>
        <v/>
      </c>
      <c r="D212" s="14"/>
      <c r="E212" s="15"/>
      <c r="F212" s="16"/>
      <c r="G212" s="16"/>
      <c r="H212" s="16"/>
      <c r="I212" s="16"/>
      <c r="J212" s="17" t="str">
        <f aca="false">IF(COUNT($F212:$H212)=0,"",SUM($F212:$H212))</f>
        <v/>
      </c>
      <c r="K212" s="14"/>
      <c r="L212" s="14"/>
      <c r="M212" s="14"/>
      <c r="N212" s="13" t="str">
        <f aca="false">IF(COUNTA($A212,$D212:$I212,$K212:$M212)=0,"",IF($A212="","Add Loan UID",IF(ISNA(MATCH($A212,'Loans (reference)'!$A$2:$A$500,0)),"UID not in Loans tab",IF($D212="","Add payment no.",IF(COUNTIFS($A$2:$A$300,$A212,$D$2:$D$300,$D212)&gt;1,"Duplicate payment no.",IF($E212="","Add payment date",IF(COUNT($F212:$H212)=0,"Add an amount","Ready")))))))</f>
        <v/>
      </c>
      <c r="O212" s="18"/>
      <c r="P212" s="19"/>
    </row>
    <row r="213" customFormat="false" ht="15" hidden="false" customHeight="false" outlineLevel="0" collapsed="false">
      <c r="A213" s="12"/>
      <c r="B213" s="13" t="str">
        <f aca="false">IF($A213="","",IFERROR(INDEX('Loans (reference)'!$B$2:$B$500,MATCH($A213,'Loans (reference)'!$A$2:$A$500,0)),"not found"))</f>
        <v/>
      </c>
      <c r="C213" s="13" t="str">
        <f aca="false">IF($A213="","",IFERROR(INDEX('Loans (reference)'!$K$2:$K$500,MATCH($A213,'Loans (reference)'!$A$2:$A$500,0)),""))</f>
        <v/>
      </c>
      <c r="D213" s="14"/>
      <c r="E213" s="15"/>
      <c r="F213" s="16"/>
      <c r="G213" s="16"/>
      <c r="H213" s="16"/>
      <c r="I213" s="16"/>
      <c r="J213" s="17" t="str">
        <f aca="false">IF(COUNT($F213:$H213)=0,"",SUM($F213:$H213))</f>
        <v/>
      </c>
      <c r="K213" s="14"/>
      <c r="L213" s="14"/>
      <c r="M213" s="14"/>
      <c r="N213" s="13" t="str">
        <f aca="false">IF(COUNTA($A213,$D213:$I213,$K213:$M213)=0,"",IF($A213="","Add Loan UID",IF(ISNA(MATCH($A213,'Loans (reference)'!$A$2:$A$500,0)),"UID not in Loans tab",IF($D213="","Add payment no.",IF(COUNTIFS($A$2:$A$300,$A213,$D$2:$D$300,$D213)&gt;1,"Duplicate payment no.",IF($E213="","Add payment date",IF(COUNT($F213:$H213)=0,"Add an amount","Ready")))))))</f>
        <v/>
      </c>
      <c r="O213" s="18"/>
      <c r="P213" s="19"/>
    </row>
    <row r="214" customFormat="false" ht="15" hidden="false" customHeight="false" outlineLevel="0" collapsed="false">
      <c r="A214" s="12"/>
      <c r="B214" s="13" t="str">
        <f aca="false">IF($A214="","",IFERROR(INDEX('Loans (reference)'!$B$2:$B$500,MATCH($A214,'Loans (reference)'!$A$2:$A$500,0)),"not found"))</f>
        <v/>
      </c>
      <c r="C214" s="13" t="str">
        <f aca="false">IF($A214="","",IFERROR(INDEX('Loans (reference)'!$K$2:$K$500,MATCH($A214,'Loans (reference)'!$A$2:$A$500,0)),""))</f>
        <v/>
      </c>
      <c r="D214" s="14"/>
      <c r="E214" s="15"/>
      <c r="F214" s="16"/>
      <c r="G214" s="16"/>
      <c r="H214" s="16"/>
      <c r="I214" s="16"/>
      <c r="J214" s="17" t="str">
        <f aca="false">IF(COUNT($F214:$H214)=0,"",SUM($F214:$H214))</f>
        <v/>
      </c>
      <c r="K214" s="14"/>
      <c r="L214" s="14"/>
      <c r="M214" s="14"/>
      <c r="N214" s="13" t="str">
        <f aca="false">IF(COUNTA($A214,$D214:$I214,$K214:$M214)=0,"",IF($A214="","Add Loan UID",IF(ISNA(MATCH($A214,'Loans (reference)'!$A$2:$A$500,0)),"UID not in Loans tab",IF($D214="","Add payment no.",IF(COUNTIFS($A$2:$A$300,$A214,$D$2:$D$300,$D214)&gt;1,"Duplicate payment no.",IF($E214="","Add payment date",IF(COUNT($F214:$H214)=0,"Add an amount","Ready")))))))</f>
        <v/>
      </c>
      <c r="O214" s="18"/>
      <c r="P214" s="19"/>
    </row>
    <row r="215" customFormat="false" ht="15" hidden="false" customHeight="false" outlineLevel="0" collapsed="false">
      <c r="A215" s="12"/>
      <c r="B215" s="13" t="str">
        <f aca="false">IF($A215="","",IFERROR(INDEX('Loans (reference)'!$B$2:$B$500,MATCH($A215,'Loans (reference)'!$A$2:$A$500,0)),"not found"))</f>
        <v/>
      </c>
      <c r="C215" s="13" t="str">
        <f aca="false">IF($A215="","",IFERROR(INDEX('Loans (reference)'!$K$2:$K$500,MATCH($A215,'Loans (reference)'!$A$2:$A$500,0)),""))</f>
        <v/>
      </c>
      <c r="D215" s="14"/>
      <c r="E215" s="15"/>
      <c r="F215" s="16"/>
      <c r="G215" s="16"/>
      <c r="H215" s="16"/>
      <c r="I215" s="16"/>
      <c r="J215" s="17" t="str">
        <f aca="false">IF(COUNT($F215:$H215)=0,"",SUM($F215:$H215))</f>
        <v/>
      </c>
      <c r="K215" s="14"/>
      <c r="L215" s="14"/>
      <c r="M215" s="14"/>
      <c r="N215" s="13" t="str">
        <f aca="false">IF(COUNTA($A215,$D215:$I215,$K215:$M215)=0,"",IF($A215="","Add Loan UID",IF(ISNA(MATCH($A215,'Loans (reference)'!$A$2:$A$500,0)),"UID not in Loans tab",IF($D215="","Add payment no.",IF(COUNTIFS($A$2:$A$300,$A215,$D$2:$D$300,$D215)&gt;1,"Duplicate payment no.",IF($E215="","Add payment date",IF(COUNT($F215:$H215)=0,"Add an amount","Ready")))))))</f>
        <v/>
      </c>
      <c r="O215" s="18"/>
      <c r="P215" s="19"/>
    </row>
    <row r="216" customFormat="false" ht="15" hidden="false" customHeight="false" outlineLevel="0" collapsed="false">
      <c r="A216" s="12"/>
      <c r="B216" s="13" t="str">
        <f aca="false">IF($A216="","",IFERROR(INDEX('Loans (reference)'!$B$2:$B$500,MATCH($A216,'Loans (reference)'!$A$2:$A$500,0)),"not found"))</f>
        <v/>
      </c>
      <c r="C216" s="13" t="str">
        <f aca="false">IF($A216="","",IFERROR(INDEX('Loans (reference)'!$K$2:$K$500,MATCH($A216,'Loans (reference)'!$A$2:$A$500,0)),""))</f>
        <v/>
      </c>
      <c r="D216" s="14"/>
      <c r="E216" s="15"/>
      <c r="F216" s="16"/>
      <c r="G216" s="16"/>
      <c r="H216" s="16"/>
      <c r="I216" s="16"/>
      <c r="J216" s="17" t="str">
        <f aca="false">IF(COUNT($F216:$H216)=0,"",SUM($F216:$H216))</f>
        <v/>
      </c>
      <c r="K216" s="14"/>
      <c r="L216" s="14"/>
      <c r="M216" s="14"/>
      <c r="N216" s="13" t="str">
        <f aca="false">IF(COUNTA($A216,$D216:$I216,$K216:$M216)=0,"",IF($A216="","Add Loan UID",IF(ISNA(MATCH($A216,'Loans (reference)'!$A$2:$A$500,0)),"UID not in Loans tab",IF($D216="","Add payment no.",IF(COUNTIFS($A$2:$A$300,$A216,$D$2:$D$300,$D216)&gt;1,"Duplicate payment no.",IF($E216="","Add payment date",IF(COUNT($F216:$H216)=0,"Add an amount","Ready")))))))</f>
        <v/>
      </c>
      <c r="O216" s="18"/>
      <c r="P216" s="19"/>
    </row>
    <row r="217" customFormat="false" ht="15" hidden="false" customHeight="false" outlineLevel="0" collapsed="false">
      <c r="A217" s="12"/>
      <c r="B217" s="13" t="str">
        <f aca="false">IF($A217="","",IFERROR(INDEX('Loans (reference)'!$B$2:$B$500,MATCH($A217,'Loans (reference)'!$A$2:$A$500,0)),"not found"))</f>
        <v/>
      </c>
      <c r="C217" s="13" t="str">
        <f aca="false">IF($A217="","",IFERROR(INDEX('Loans (reference)'!$K$2:$K$500,MATCH($A217,'Loans (reference)'!$A$2:$A$500,0)),""))</f>
        <v/>
      </c>
      <c r="D217" s="14"/>
      <c r="E217" s="15"/>
      <c r="F217" s="16"/>
      <c r="G217" s="16"/>
      <c r="H217" s="16"/>
      <c r="I217" s="16"/>
      <c r="J217" s="17" t="str">
        <f aca="false">IF(COUNT($F217:$H217)=0,"",SUM($F217:$H217))</f>
        <v/>
      </c>
      <c r="K217" s="14"/>
      <c r="L217" s="14"/>
      <c r="M217" s="14"/>
      <c r="N217" s="13" t="str">
        <f aca="false">IF(COUNTA($A217,$D217:$I217,$K217:$M217)=0,"",IF($A217="","Add Loan UID",IF(ISNA(MATCH($A217,'Loans (reference)'!$A$2:$A$500,0)),"UID not in Loans tab",IF($D217="","Add payment no.",IF(COUNTIFS($A$2:$A$300,$A217,$D$2:$D$300,$D217)&gt;1,"Duplicate payment no.",IF($E217="","Add payment date",IF(COUNT($F217:$H217)=0,"Add an amount","Ready")))))))</f>
        <v/>
      </c>
      <c r="O217" s="18"/>
      <c r="P217" s="19"/>
    </row>
    <row r="218" customFormat="false" ht="15" hidden="false" customHeight="false" outlineLevel="0" collapsed="false">
      <c r="A218" s="12"/>
      <c r="B218" s="13" t="str">
        <f aca="false">IF($A218="","",IFERROR(INDEX('Loans (reference)'!$B$2:$B$500,MATCH($A218,'Loans (reference)'!$A$2:$A$500,0)),"not found"))</f>
        <v/>
      </c>
      <c r="C218" s="13" t="str">
        <f aca="false">IF($A218="","",IFERROR(INDEX('Loans (reference)'!$K$2:$K$500,MATCH($A218,'Loans (reference)'!$A$2:$A$500,0)),""))</f>
        <v/>
      </c>
      <c r="D218" s="14"/>
      <c r="E218" s="15"/>
      <c r="F218" s="16"/>
      <c r="G218" s="16"/>
      <c r="H218" s="16"/>
      <c r="I218" s="16"/>
      <c r="J218" s="17" t="str">
        <f aca="false">IF(COUNT($F218:$H218)=0,"",SUM($F218:$H218))</f>
        <v/>
      </c>
      <c r="K218" s="14"/>
      <c r="L218" s="14"/>
      <c r="M218" s="14"/>
      <c r="N218" s="13" t="str">
        <f aca="false">IF(COUNTA($A218,$D218:$I218,$K218:$M218)=0,"",IF($A218="","Add Loan UID",IF(ISNA(MATCH($A218,'Loans (reference)'!$A$2:$A$500,0)),"UID not in Loans tab",IF($D218="","Add payment no.",IF(COUNTIFS($A$2:$A$300,$A218,$D$2:$D$300,$D218)&gt;1,"Duplicate payment no.",IF($E218="","Add payment date",IF(COUNT($F218:$H218)=0,"Add an amount","Ready")))))))</f>
        <v/>
      </c>
      <c r="O218" s="18"/>
      <c r="P218" s="19"/>
    </row>
    <row r="219" customFormat="false" ht="15" hidden="false" customHeight="false" outlineLevel="0" collapsed="false">
      <c r="A219" s="12"/>
      <c r="B219" s="13" t="str">
        <f aca="false">IF($A219="","",IFERROR(INDEX('Loans (reference)'!$B$2:$B$500,MATCH($A219,'Loans (reference)'!$A$2:$A$500,0)),"not found"))</f>
        <v/>
      </c>
      <c r="C219" s="13" t="str">
        <f aca="false">IF($A219="","",IFERROR(INDEX('Loans (reference)'!$K$2:$K$500,MATCH($A219,'Loans (reference)'!$A$2:$A$500,0)),""))</f>
        <v/>
      </c>
      <c r="D219" s="14"/>
      <c r="E219" s="15"/>
      <c r="F219" s="16"/>
      <c r="G219" s="16"/>
      <c r="H219" s="16"/>
      <c r="I219" s="16"/>
      <c r="J219" s="17" t="str">
        <f aca="false">IF(COUNT($F219:$H219)=0,"",SUM($F219:$H219))</f>
        <v/>
      </c>
      <c r="K219" s="14"/>
      <c r="L219" s="14"/>
      <c r="M219" s="14"/>
      <c r="N219" s="13" t="str">
        <f aca="false">IF(COUNTA($A219,$D219:$I219,$K219:$M219)=0,"",IF($A219="","Add Loan UID",IF(ISNA(MATCH($A219,'Loans (reference)'!$A$2:$A$500,0)),"UID not in Loans tab",IF($D219="","Add payment no.",IF(COUNTIFS($A$2:$A$300,$A219,$D$2:$D$300,$D219)&gt;1,"Duplicate payment no.",IF($E219="","Add payment date",IF(COUNT($F219:$H219)=0,"Add an amount","Ready")))))))</f>
        <v/>
      </c>
      <c r="O219" s="18"/>
      <c r="P219" s="19"/>
    </row>
    <row r="220" customFormat="false" ht="15" hidden="false" customHeight="false" outlineLevel="0" collapsed="false">
      <c r="A220" s="12"/>
      <c r="B220" s="13" t="str">
        <f aca="false">IF($A220="","",IFERROR(INDEX('Loans (reference)'!$B$2:$B$500,MATCH($A220,'Loans (reference)'!$A$2:$A$500,0)),"not found"))</f>
        <v/>
      </c>
      <c r="C220" s="13" t="str">
        <f aca="false">IF($A220="","",IFERROR(INDEX('Loans (reference)'!$K$2:$K$500,MATCH($A220,'Loans (reference)'!$A$2:$A$500,0)),""))</f>
        <v/>
      </c>
      <c r="D220" s="14"/>
      <c r="E220" s="15"/>
      <c r="F220" s="16"/>
      <c r="G220" s="16"/>
      <c r="H220" s="16"/>
      <c r="I220" s="16"/>
      <c r="J220" s="17" t="str">
        <f aca="false">IF(COUNT($F220:$H220)=0,"",SUM($F220:$H220))</f>
        <v/>
      </c>
      <c r="K220" s="14"/>
      <c r="L220" s="14"/>
      <c r="M220" s="14"/>
      <c r="N220" s="13" t="str">
        <f aca="false">IF(COUNTA($A220,$D220:$I220,$K220:$M220)=0,"",IF($A220="","Add Loan UID",IF(ISNA(MATCH($A220,'Loans (reference)'!$A$2:$A$500,0)),"UID not in Loans tab",IF($D220="","Add payment no.",IF(COUNTIFS($A$2:$A$300,$A220,$D$2:$D$300,$D220)&gt;1,"Duplicate payment no.",IF($E220="","Add payment date",IF(COUNT($F220:$H220)=0,"Add an amount","Ready")))))))</f>
        <v/>
      </c>
      <c r="O220" s="18"/>
      <c r="P220" s="19"/>
    </row>
    <row r="221" customFormat="false" ht="15" hidden="false" customHeight="false" outlineLevel="0" collapsed="false">
      <c r="A221" s="12"/>
      <c r="B221" s="13" t="str">
        <f aca="false">IF($A221="","",IFERROR(INDEX('Loans (reference)'!$B$2:$B$500,MATCH($A221,'Loans (reference)'!$A$2:$A$500,0)),"not found"))</f>
        <v/>
      </c>
      <c r="C221" s="13" t="str">
        <f aca="false">IF($A221="","",IFERROR(INDEX('Loans (reference)'!$K$2:$K$500,MATCH($A221,'Loans (reference)'!$A$2:$A$500,0)),""))</f>
        <v/>
      </c>
      <c r="D221" s="14"/>
      <c r="E221" s="15"/>
      <c r="F221" s="16"/>
      <c r="G221" s="16"/>
      <c r="H221" s="16"/>
      <c r="I221" s="16"/>
      <c r="J221" s="17" t="str">
        <f aca="false">IF(COUNT($F221:$H221)=0,"",SUM($F221:$H221))</f>
        <v/>
      </c>
      <c r="K221" s="14"/>
      <c r="L221" s="14"/>
      <c r="M221" s="14"/>
      <c r="N221" s="13" t="str">
        <f aca="false">IF(COUNTA($A221,$D221:$I221,$K221:$M221)=0,"",IF($A221="","Add Loan UID",IF(ISNA(MATCH($A221,'Loans (reference)'!$A$2:$A$500,0)),"UID not in Loans tab",IF($D221="","Add payment no.",IF(COUNTIFS($A$2:$A$300,$A221,$D$2:$D$300,$D221)&gt;1,"Duplicate payment no.",IF($E221="","Add payment date",IF(COUNT($F221:$H221)=0,"Add an amount","Ready")))))))</f>
        <v/>
      </c>
      <c r="O221" s="18"/>
      <c r="P221" s="19"/>
    </row>
    <row r="222" customFormat="false" ht="15" hidden="false" customHeight="false" outlineLevel="0" collapsed="false">
      <c r="A222" s="12"/>
      <c r="B222" s="13" t="str">
        <f aca="false">IF($A222="","",IFERROR(INDEX('Loans (reference)'!$B$2:$B$500,MATCH($A222,'Loans (reference)'!$A$2:$A$500,0)),"not found"))</f>
        <v/>
      </c>
      <c r="C222" s="13" t="str">
        <f aca="false">IF($A222="","",IFERROR(INDEX('Loans (reference)'!$K$2:$K$500,MATCH($A222,'Loans (reference)'!$A$2:$A$500,0)),""))</f>
        <v/>
      </c>
      <c r="D222" s="14"/>
      <c r="E222" s="15"/>
      <c r="F222" s="16"/>
      <c r="G222" s="16"/>
      <c r="H222" s="16"/>
      <c r="I222" s="16"/>
      <c r="J222" s="17" t="str">
        <f aca="false">IF(COUNT($F222:$H222)=0,"",SUM($F222:$H222))</f>
        <v/>
      </c>
      <c r="K222" s="14"/>
      <c r="L222" s="14"/>
      <c r="M222" s="14"/>
      <c r="N222" s="13" t="str">
        <f aca="false">IF(COUNTA($A222,$D222:$I222,$K222:$M222)=0,"",IF($A222="","Add Loan UID",IF(ISNA(MATCH($A222,'Loans (reference)'!$A$2:$A$500,0)),"UID not in Loans tab",IF($D222="","Add payment no.",IF(COUNTIFS($A$2:$A$300,$A222,$D$2:$D$300,$D222)&gt;1,"Duplicate payment no.",IF($E222="","Add payment date",IF(COUNT($F222:$H222)=0,"Add an amount","Ready")))))))</f>
        <v/>
      </c>
      <c r="O222" s="18"/>
      <c r="P222" s="19"/>
    </row>
    <row r="223" customFormat="false" ht="15" hidden="false" customHeight="false" outlineLevel="0" collapsed="false">
      <c r="A223" s="12"/>
      <c r="B223" s="13" t="str">
        <f aca="false">IF($A223="","",IFERROR(INDEX('Loans (reference)'!$B$2:$B$500,MATCH($A223,'Loans (reference)'!$A$2:$A$500,0)),"not found"))</f>
        <v/>
      </c>
      <c r="C223" s="13" t="str">
        <f aca="false">IF($A223="","",IFERROR(INDEX('Loans (reference)'!$K$2:$K$500,MATCH($A223,'Loans (reference)'!$A$2:$A$500,0)),""))</f>
        <v/>
      </c>
      <c r="D223" s="14"/>
      <c r="E223" s="15"/>
      <c r="F223" s="16"/>
      <c r="G223" s="16"/>
      <c r="H223" s="16"/>
      <c r="I223" s="16"/>
      <c r="J223" s="17" t="str">
        <f aca="false">IF(COUNT($F223:$H223)=0,"",SUM($F223:$H223))</f>
        <v/>
      </c>
      <c r="K223" s="14"/>
      <c r="L223" s="14"/>
      <c r="M223" s="14"/>
      <c r="N223" s="13" t="str">
        <f aca="false">IF(COUNTA($A223,$D223:$I223,$K223:$M223)=0,"",IF($A223="","Add Loan UID",IF(ISNA(MATCH($A223,'Loans (reference)'!$A$2:$A$500,0)),"UID not in Loans tab",IF($D223="","Add payment no.",IF(COUNTIFS($A$2:$A$300,$A223,$D$2:$D$300,$D223)&gt;1,"Duplicate payment no.",IF($E223="","Add payment date",IF(COUNT($F223:$H223)=0,"Add an amount","Ready")))))))</f>
        <v/>
      </c>
      <c r="O223" s="18"/>
      <c r="P223" s="19"/>
    </row>
    <row r="224" customFormat="false" ht="15" hidden="false" customHeight="false" outlineLevel="0" collapsed="false">
      <c r="A224" s="12"/>
      <c r="B224" s="13" t="str">
        <f aca="false">IF($A224="","",IFERROR(INDEX('Loans (reference)'!$B$2:$B$500,MATCH($A224,'Loans (reference)'!$A$2:$A$500,0)),"not found"))</f>
        <v/>
      </c>
      <c r="C224" s="13" t="str">
        <f aca="false">IF($A224="","",IFERROR(INDEX('Loans (reference)'!$K$2:$K$500,MATCH($A224,'Loans (reference)'!$A$2:$A$500,0)),""))</f>
        <v/>
      </c>
      <c r="D224" s="14"/>
      <c r="E224" s="15"/>
      <c r="F224" s="16"/>
      <c r="G224" s="16"/>
      <c r="H224" s="16"/>
      <c r="I224" s="16"/>
      <c r="J224" s="17" t="str">
        <f aca="false">IF(COUNT($F224:$H224)=0,"",SUM($F224:$H224))</f>
        <v/>
      </c>
      <c r="K224" s="14"/>
      <c r="L224" s="14"/>
      <c r="M224" s="14"/>
      <c r="N224" s="13" t="str">
        <f aca="false">IF(COUNTA($A224,$D224:$I224,$K224:$M224)=0,"",IF($A224="","Add Loan UID",IF(ISNA(MATCH($A224,'Loans (reference)'!$A$2:$A$500,0)),"UID not in Loans tab",IF($D224="","Add payment no.",IF(COUNTIFS($A$2:$A$300,$A224,$D$2:$D$300,$D224)&gt;1,"Duplicate payment no.",IF($E224="","Add payment date",IF(COUNT($F224:$H224)=0,"Add an amount","Ready")))))))</f>
        <v/>
      </c>
      <c r="O224" s="18"/>
      <c r="P224" s="19"/>
    </row>
    <row r="225" customFormat="false" ht="15" hidden="false" customHeight="false" outlineLevel="0" collapsed="false">
      <c r="A225" s="12"/>
      <c r="B225" s="13" t="str">
        <f aca="false">IF($A225="","",IFERROR(INDEX('Loans (reference)'!$B$2:$B$500,MATCH($A225,'Loans (reference)'!$A$2:$A$500,0)),"not found"))</f>
        <v/>
      </c>
      <c r="C225" s="13" t="str">
        <f aca="false">IF($A225="","",IFERROR(INDEX('Loans (reference)'!$K$2:$K$500,MATCH($A225,'Loans (reference)'!$A$2:$A$500,0)),""))</f>
        <v/>
      </c>
      <c r="D225" s="14"/>
      <c r="E225" s="15"/>
      <c r="F225" s="16"/>
      <c r="G225" s="16"/>
      <c r="H225" s="16"/>
      <c r="I225" s="16"/>
      <c r="J225" s="17" t="str">
        <f aca="false">IF(COUNT($F225:$H225)=0,"",SUM($F225:$H225))</f>
        <v/>
      </c>
      <c r="K225" s="14"/>
      <c r="L225" s="14"/>
      <c r="M225" s="14"/>
      <c r="N225" s="13" t="str">
        <f aca="false">IF(COUNTA($A225,$D225:$I225,$K225:$M225)=0,"",IF($A225="","Add Loan UID",IF(ISNA(MATCH($A225,'Loans (reference)'!$A$2:$A$500,0)),"UID not in Loans tab",IF($D225="","Add payment no.",IF(COUNTIFS($A$2:$A$300,$A225,$D$2:$D$300,$D225)&gt;1,"Duplicate payment no.",IF($E225="","Add payment date",IF(COUNT($F225:$H225)=0,"Add an amount","Ready")))))))</f>
        <v/>
      </c>
      <c r="O225" s="18"/>
      <c r="P225" s="19"/>
    </row>
    <row r="226" customFormat="false" ht="15" hidden="false" customHeight="false" outlineLevel="0" collapsed="false">
      <c r="A226" s="12"/>
      <c r="B226" s="13" t="str">
        <f aca="false">IF($A226="","",IFERROR(INDEX('Loans (reference)'!$B$2:$B$500,MATCH($A226,'Loans (reference)'!$A$2:$A$500,0)),"not found"))</f>
        <v/>
      </c>
      <c r="C226" s="13" t="str">
        <f aca="false">IF($A226="","",IFERROR(INDEX('Loans (reference)'!$K$2:$K$500,MATCH($A226,'Loans (reference)'!$A$2:$A$500,0)),""))</f>
        <v/>
      </c>
      <c r="D226" s="14"/>
      <c r="E226" s="15"/>
      <c r="F226" s="16"/>
      <c r="G226" s="16"/>
      <c r="H226" s="16"/>
      <c r="I226" s="16"/>
      <c r="J226" s="17" t="str">
        <f aca="false">IF(COUNT($F226:$H226)=0,"",SUM($F226:$H226))</f>
        <v/>
      </c>
      <c r="K226" s="14"/>
      <c r="L226" s="14"/>
      <c r="M226" s="14"/>
      <c r="N226" s="13" t="str">
        <f aca="false">IF(COUNTA($A226,$D226:$I226,$K226:$M226)=0,"",IF($A226="","Add Loan UID",IF(ISNA(MATCH($A226,'Loans (reference)'!$A$2:$A$500,0)),"UID not in Loans tab",IF($D226="","Add payment no.",IF(COUNTIFS($A$2:$A$300,$A226,$D$2:$D$300,$D226)&gt;1,"Duplicate payment no.",IF($E226="","Add payment date",IF(COUNT($F226:$H226)=0,"Add an amount","Ready")))))))</f>
        <v/>
      </c>
      <c r="O226" s="18"/>
      <c r="P226" s="19"/>
    </row>
    <row r="227" customFormat="false" ht="15" hidden="false" customHeight="false" outlineLevel="0" collapsed="false">
      <c r="A227" s="12"/>
      <c r="B227" s="13" t="str">
        <f aca="false">IF($A227="","",IFERROR(INDEX('Loans (reference)'!$B$2:$B$500,MATCH($A227,'Loans (reference)'!$A$2:$A$500,0)),"not found"))</f>
        <v/>
      </c>
      <c r="C227" s="13" t="str">
        <f aca="false">IF($A227="","",IFERROR(INDEX('Loans (reference)'!$K$2:$K$500,MATCH($A227,'Loans (reference)'!$A$2:$A$500,0)),""))</f>
        <v/>
      </c>
      <c r="D227" s="14"/>
      <c r="E227" s="15"/>
      <c r="F227" s="16"/>
      <c r="G227" s="16"/>
      <c r="H227" s="16"/>
      <c r="I227" s="16"/>
      <c r="J227" s="17" t="str">
        <f aca="false">IF(COUNT($F227:$H227)=0,"",SUM($F227:$H227))</f>
        <v/>
      </c>
      <c r="K227" s="14"/>
      <c r="L227" s="14"/>
      <c r="M227" s="14"/>
      <c r="N227" s="13" t="str">
        <f aca="false">IF(COUNTA($A227,$D227:$I227,$K227:$M227)=0,"",IF($A227="","Add Loan UID",IF(ISNA(MATCH($A227,'Loans (reference)'!$A$2:$A$500,0)),"UID not in Loans tab",IF($D227="","Add payment no.",IF(COUNTIFS($A$2:$A$300,$A227,$D$2:$D$300,$D227)&gt;1,"Duplicate payment no.",IF($E227="","Add payment date",IF(COUNT($F227:$H227)=0,"Add an amount","Ready")))))))</f>
        <v/>
      </c>
      <c r="O227" s="18"/>
      <c r="P227" s="19"/>
    </row>
    <row r="228" customFormat="false" ht="15" hidden="false" customHeight="false" outlineLevel="0" collapsed="false">
      <c r="A228" s="12"/>
      <c r="B228" s="13" t="str">
        <f aca="false">IF($A228="","",IFERROR(INDEX('Loans (reference)'!$B$2:$B$500,MATCH($A228,'Loans (reference)'!$A$2:$A$500,0)),"not found"))</f>
        <v/>
      </c>
      <c r="C228" s="13" t="str">
        <f aca="false">IF($A228="","",IFERROR(INDEX('Loans (reference)'!$K$2:$K$500,MATCH($A228,'Loans (reference)'!$A$2:$A$500,0)),""))</f>
        <v/>
      </c>
      <c r="D228" s="14"/>
      <c r="E228" s="15"/>
      <c r="F228" s="16"/>
      <c r="G228" s="16"/>
      <c r="H228" s="16"/>
      <c r="I228" s="16"/>
      <c r="J228" s="17" t="str">
        <f aca="false">IF(COUNT($F228:$H228)=0,"",SUM($F228:$H228))</f>
        <v/>
      </c>
      <c r="K228" s="14"/>
      <c r="L228" s="14"/>
      <c r="M228" s="14"/>
      <c r="N228" s="13" t="str">
        <f aca="false">IF(COUNTA($A228,$D228:$I228,$K228:$M228)=0,"",IF($A228="","Add Loan UID",IF(ISNA(MATCH($A228,'Loans (reference)'!$A$2:$A$500,0)),"UID not in Loans tab",IF($D228="","Add payment no.",IF(COUNTIFS($A$2:$A$300,$A228,$D$2:$D$300,$D228)&gt;1,"Duplicate payment no.",IF($E228="","Add payment date",IF(COUNT($F228:$H228)=0,"Add an amount","Ready")))))))</f>
        <v/>
      </c>
      <c r="O228" s="18"/>
      <c r="P228" s="19"/>
    </row>
    <row r="229" customFormat="false" ht="15" hidden="false" customHeight="false" outlineLevel="0" collapsed="false">
      <c r="A229" s="12"/>
      <c r="B229" s="13" t="str">
        <f aca="false">IF($A229="","",IFERROR(INDEX('Loans (reference)'!$B$2:$B$500,MATCH($A229,'Loans (reference)'!$A$2:$A$500,0)),"not found"))</f>
        <v/>
      </c>
      <c r="C229" s="13" t="str">
        <f aca="false">IF($A229="","",IFERROR(INDEX('Loans (reference)'!$K$2:$K$500,MATCH($A229,'Loans (reference)'!$A$2:$A$500,0)),""))</f>
        <v/>
      </c>
      <c r="D229" s="14"/>
      <c r="E229" s="15"/>
      <c r="F229" s="16"/>
      <c r="G229" s="16"/>
      <c r="H229" s="16"/>
      <c r="I229" s="16"/>
      <c r="J229" s="17" t="str">
        <f aca="false">IF(COUNT($F229:$H229)=0,"",SUM($F229:$H229))</f>
        <v/>
      </c>
      <c r="K229" s="14"/>
      <c r="L229" s="14"/>
      <c r="M229" s="14"/>
      <c r="N229" s="13" t="str">
        <f aca="false">IF(COUNTA($A229,$D229:$I229,$K229:$M229)=0,"",IF($A229="","Add Loan UID",IF(ISNA(MATCH($A229,'Loans (reference)'!$A$2:$A$500,0)),"UID not in Loans tab",IF($D229="","Add payment no.",IF(COUNTIFS($A$2:$A$300,$A229,$D$2:$D$300,$D229)&gt;1,"Duplicate payment no.",IF($E229="","Add payment date",IF(COUNT($F229:$H229)=0,"Add an amount","Ready")))))))</f>
        <v/>
      </c>
      <c r="O229" s="18"/>
      <c r="P229" s="19"/>
    </row>
    <row r="230" customFormat="false" ht="15" hidden="false" customHeight="false" outlineLevel="0" collapsed="false">
      <c r="A230" s="12"/>
      <c r="B230" s="13" t="str">
        <f aca="false">IF($A230="","",IFERROR(INDEX('Loans (reference)'!$B$2:$B$500,MATCH($A230,'Loans (reference)'!$A$2:$A$500,0)),"not found"))</f>
        <v/>
      </c>
      <c r="C230" s="13" t="str">
        <f aca="false">IF($A230="","",IFERROR(INDEX('Loans (reference)'!$K$2:$K$500,MATCH($A230,'Loans (reference)'!$A$2:$A$500,0)),""))</f>
        <v/>
      </c>
      <c r="D230" s="14"/>
      <c r="E230" s="15"/>
      <c r="F230" s="16"/>
      <c r="G230" s="16"/>
      <c r="H230" s="16"/>
      <c r="I230" s="16"/>
      <c r="J230" s="17" t="str">
        <f aca="false">IF(COUNT($F230:$H230)=0,"",SUM($F230:$H230))</f>
        <v/>
      </c>
      <c r="K230" s="14"/>
      <c r="L230" s="14"/>
      <c r="M230" s="14"/>
      <c r="N230" s="13" t="str">
        <f aca="false">IF(COUNTA($A230,$D230:$I230,$K230:$M230)=0,"",IF($A230="","Add Loan UID",IF(ISNA(MATCH($A230,'Loans (reference)'!$A$2:$A$500,0)),"UID not in Loans tab",IF($D230="","Add payment no.",IF(COUNTIFS($A$2:$A$300,$A230,$D$2:$D$300,$D230)&gt;1,"Duplicate payment no.",IF($E230="","Add payment date",IF(COUNT($F230:$H230)=0,"Add an amount","Ready")))))))</f>
        <v/>
      </c>
      <c r="O230" s="18"/>
      <c r="P230" s="19"/>
    </row>
    <row r="231" customFormat="false" ht="15" hidden="false" customHeight="false" outlineLevel="0" collapsed="false">
      <c r="A231" s="12"/>
      <c r="B231" s="13" t="str">
        <f aca="false">IF($A231="","",IFERROR(INDEX('Loans (reference)'!$B$2:$B$500,MATCH($A231,'Loans (reference)'!$A$2:$A$500,0)),"not found"))</f>
        <v/>
      </c>
      <c r="C231" s="13" t="str">
        <f aca="false">IF($A231="","",IFERROR(INDEX('Loans (reference)'!$K$2:$K$500,MATCH($A231,'Loans (reference)'!$A$2:$A$500,0)),""))</f>
        <v/>
      </c>
      <c r="D231" s="14"/>
      <c r="E231" s="15"/>
      <c r="F231" s="16"/>
      <c r="G231" s="16"/>
      <c r="H231" s="16"/>
      <c r="I231" s="16"/>
      <c r="J231" s="17" t="str">
        <f aca="false">IF(COUNT($F231:$H231)=0,"",SUM($F231:$H231))</f>
        <v/>
      </c>
      <c r="K231" s="14"/>
      <c r="L231" s="14"/>
      <c r="M231" s="14"/>
      <c r="N231" s="13" t="str">
        <f aca="false">IF(COUNTA($A231,$D231:$I231,$K231:$M231)=0,"",IF($A231="","Add Loan UID",IF(ISNA(MATCH($A231,'Loans (reference)'!$A$2:$A$500,0)),"UID not in Loans tab",IF($D231="","Add payment no.",IF(COUNTIFS($A$2:$A$300,$A231,$D$2:$D$300,$D231)&gt;1,"Duplicate payment no.",IF($E231="","Add payment date",IF(COUNT($F231:$H231)=0,"Add an amount","Ready")))))))</f>
        <v/>
      </c>
      <c r="O231" s="18"/>
      <c r="P231" s="19"/>
    </row>
    <row r="232" customFormat="false" ht="15" hidden="false" customHeight="false" outlineLevel="0" collapsed="false">
      <c r="A232" s="12"/>
      <c r="B232" s="13" t="str">
        <f aca="false">IF($A232="","",IFERROR(INDEX('Loans (reference)'!$B$2:$B$500,MATCH($A232,'Loans (reference)'!$A$2:$A$500,0)),"not found"))</f>
        <v/>
      </c>
      <c r="C232" s="13" t="str">
        <f aca="false">IF($A232="","",IFERROR(INDEX('Loans (reference)'!$K$2:$K$500,MATCH($A232,'Loans (reference)'!$A$2:$A$500,0)),""))</f>
        <v/>
      </c>
      <c r="D232" s="14"/>
      <c r="E232" s="15"/>
      <c r="F232" s="16"/>
      <c r="G232" s="16"/>
      <c r="H232" s="16"/>
      <c r="I232" s="16"/>
      <c r="J232" s="17" t="str">
        <f aca="false">IF(COUNT($F232:$H232)=0,"",SUM($F232:$H232))</f>
        <v/>
      </c>
      <c r="K232" s="14"/>
      <c r="L232" s="14"/>
      <c r="M232" s="14"/>
      <c r="N232" s="13" t="str">
        <f aca="false">IF(COUNTA($A232,$D232:$I232,$K232:$M232)=0,"",IF($A232="","Add Loan UID",IF(ISNA(MATCH($A232,'Loans (reference)'!$A$2:$A$500,0)),"UID not in Loans tab",IF($D232="","Add payment no.",IF(COUNTIFS($A$2:$A$300,$A232,$D$2:$D$300,$D232)&gt;1,"Duplicate payment no.",IF($E232="","Add payment date",IF(COUNT($F232:$H232)=0,"Add an amount","Ready")))))))</f>
        <v/>
      </c>
      <c r="O232" s="18"/>
      <c r="P232" s="19"/>
    </row>
    <row r="233" customFormat="false" ht="15" hidden="false" customHeight="false" outlineLevel="0" collapsed="false">
      <c r="A233" s="12"/>
      <c r="B233" s="13" t="str">
        <f aca="false">IF($A233="","",IFERROR(INDEX('Loans (reference)'!$B$2:$B$500,MATCH($A233,'Loans (reference)'!$A$2:$A$500,0)),"not found"))</f>
        <v/>
      </c>
      <c r="C233" s="13" t="str">
        <f aca="false">IF($A233="","",IFERROR(INDEX('Loans (reference)'!$K$2:$K$500,MATCH($A233,'Loans (reference)'!$A$2:$A$500,0)),""))</f>
        <v/>
      </c>
      <c r="D233" s="14"/>
      <c r="E233" s="15"/>
      <c r="F233" s="16"/>
      <c r="G233" s="16"/>
      <c r="H233" s="16"/>
      <c r="I233" s="16"/>
      <c r="J233" s="17" t="str">
        <f aca="false">IF(COUNT($F233:$H233)=0,"",SUM($F233:$H233))</f>
        <v/>
      </c>
      <c r="K233" s="14"/>
      <c r="L233" s="14"/>
      <c r="M233" s="14"/>
      <c r="N233" s="13" t="str">
        <f aca="false">IF(COUNTA($A233,$D233:$I233,$K233:$M233)=0,"",IF($A233="","Add Loan UID",IF(ISNA(MATCH($A233,'Loans (reference)'!$A$2:$A$500,0)),"UID not in Loans tab",IF($D233="","Add payment no.",IF(COUNTIFS($A$2:$A$300,$A233,$D$2:$D$300,$D233)&gt;1,"Duplicate payment no.",IF($E233="","Add payment date",IF(COUNT($F233:$H233)=0,"Add an amount","Ready")))))))</f>
        <v/>
      </c>
      <c r="O233" s="18"/>
      <c r="P233" s="19"/>
    </row>
    <row r="234" customFormat="false" ht="15" hidden="false" customHeight="false" outlineLevel="0" collapsed="false">
      <c r="A234" s="12"/>
      <c r="B234" s="13" t="str">
        <f aca="false">IF($A234="","",IFERROR(INDEX('Loans (reference)'!$B$2:$B$500,MATCH($A234,'Loans (reference)'!$A$2:$A$500,0)),"not found"))</f>
        <v/>
      </c>
      <c r="C234" s="13" t="str">
        <f aca="false">IF($A234="","",IFERROR(INDEX('Loans (reference)'!$K$2:$K$500,MATCH($A234,'Loans (reference)'!$A$2:$A$500,0)),""))</f>
        <v/>
      </c>
      <c r="D234" s="14"/>
      <c r="E234" s="15"/>
      <c r="F234" s="16"/>
      <c r="G234" s="16"/>
      <c r="H234" s="16"/>
      <c r="I234" s="16"/>
      <c r="J234" s="17" t="str">
        <f aca="false">IF(COUNT($F234:$H234)=0,"",SUM($F234:$H234))</f>
        <v/>
      </c>
      <c r="K234" s="14"/>
      <c r="L234" s="14"/>
      <c r="M234" s="14"/>
      <c r="N234" s="13" t="str">
        <f aca="false">IF(COUNTA($A234,$D234:$I234,$K234:$M234)=0,"",IF($A234="","Add Loan UID",IF(ISNA(MATCH($A234,'Loans (reference)'!$A$2:$A$500,0)),"UID not in Loans tab",IF($D234="","Add payment no.",IF(COUNTIFS($A$2:$A$300,$A234,$D$2:$D$300,$D234)&gt;1,"Duplicate payment no.",IF($E234="","Add payment date",IF(COUNT($F234:$H234)=0,"Add an amount","Ready")))))))</f>
        <v/>
      </c>
      <c r="O234" s="18"/>
      <c r="P234" s="19"/>
    </row>
    <row r="235" customFormat="false" ht="15" hidden="false" customHeight="false" outlineLevel="0" collapsed="false">
      <c r="A235" s="12"/>
      <c r="B235" s="13" t="str">
        <f aca="false">IF($A235="","",IFERROR(INDEX('Loans (reference)'!$B$2:$B$500,MATCH($A235,'Loans (reference)'!$A$2:$A$500,0)),"not found"))</f>
        <v/>
      </c>
      <c r="C235" s="13" t="str">
        <f aca="false">IF($A235="","",IFERROR(INDEX('Loans (reference)'!$K$2:$K$500,MATCH($A235,'Loans (reference)'!$A$2:$A$500,0)),""))</f>
        <v/>
      </c>
      <c r="D235" s="14"/>
      <c r="E235" s="15"/>
      <c r="F235" s="16"/>
      <c r="G235" s="16"/>
      <c r="H235" s="16"/>
      <c r="I235" s="16"/>
      <c r="J235" s="17" t="str">
        <f aca="false">IF(COUNT($F235:$H235)=0,"",SUM($F235:$H235))</f>
        <v/>
      </c>
      <c r="K235" s="14"/>
      <c r="L235" s="14"/>
      <c r="M235" s="14"/>
      <c r="N235" s="13" t="str">
        <f aca="false">IF(COUNTA($A235,$D235:$I235,$K235:$M235)=0,"",IF($A235="","Add Loan UID",IF(ISNA(MATCH($A235,'Loans (reference)'!$A$2:$A$500,0)),"UID not in Loans tab",IF($D235="","Add payment no.",IF(COUNTIFS($A$2:$A$300,$A235,$D$2:$D$300,$D235)&gt;1,"Duplicate payment no.",IF($E235="","Add payment date",IF(COUNT($F235:$H235)=0,"Add an amount","Ready")))))))</f>
        <v/>
      </c>
      <c r="O235" s="18"/>
      <c r="P235" s="19"/>
    </row>
    <row r="236" customFormat="false" ht="15" hidden="false" customHeight="false" outlineLevel="0" collapsed="false">
      <c r="A236" s="12"/>
      <c r="B236" s="13" t="str">
        <f aca="false">IF($A236="","",IFERROR(INDEX('Loans (reference)'!$B$2:$B$500,MATCH($A236,'Loans (reference)'!$A$2:$A$500,0)),"not found"))</f>
        <v/>
      </c>
      <c r="C236" s="13" t="str">
        <f aca="false">IF($A236="","",IFERROR(INDEX('Loans (reference)'!$K$2:$K$500,MATCH($A236,'Loans (reference)'!$A$2:$A$500,0)),""))</f>
        <v/>
      </c>
      <c r="D236" s="14"/>
      <c r="E236" s="15"/>
      <c r="F236" s="16"/>
      <c r="G236" s="16"/>
      <c r="H236" s="16"/>
      <c r="I236" s="16"/>
      <c r="J236" s="17" t="str">
        <f aca="false">IF(COUNT($F236:$H236)=0,"",SUM($F236:$H236))</f>
        <v/>
      </c>
      <c r="K236" s="14"/>
      <c r="L236" s="14"/>
      <c r="M236" s="14"/>
      <c r="N236" s="13" t="str">
        <f aca="false">IF(COUNTA($A236,$D236:$I236,$K236:$M236)=0,"",IF($A236="","Add Loan UID",IF(ISNA(MATCH($A236,'Loans (reference)'!$A$2:$A$500,0)),"UID not in Loans tab",IF($D236="","Add payment no.",IF(COUNTIFS($A$2:$A$300,$A236,$D$2:$D$300,$D236)&gt;1,"Duplicate payment no.",IF($E236="","Add payment date",IF(COUNT($F236:$H236)=0,"Add an amount","Ready")))))))</f>
        <v/>
      </c>
      <c r="O236" s="18"/>
      <c r="P236" s="19"/>
    </row>
    <row r="237" customFormat="false" ht="15" hidden="false" customHeight="false" outlineLevel="0" collapsed="false">
      <c r="A237" s="12"/>
      <c r="B237" s="13" t="str">
        <f aca="false">IF($A237="","",IFERROR(INDEX('Loans (reference)'!$B$2:$B$500,MATCH($A237,'Loans (reference)'!$A$2:$A$500,0)),"not found"))</f>
        <v/>
      </c>
      <c r="C237" s="13" t="str">
        <f aca="false">IF($A237="","",IFERROR(INDEX('Loans (reference)'!$K$2:$K$500,MATCH($A237,'Loans (reference)'!$A$2:$A$500,0)),""))</f>
        <v/>
      </c>
      <c r="D237" s="14"/>
      <c r="E237" s="15"/>
      <c r="F237" s="16"/>
      <c r="G237" s="16"/>
      <c r="H237" s="16"/>
      <c r="I237" s="16"/>
      <c r="J237" s="17" t="str">
        <f aca="false">IF(COUNT($F237:$H237)=0,"",SUM($F237:$H237))</f>
        <v/>
      </c>
      <c r="K237" s="14"/>
      <c r="L237" s="14"/>
      <c r="M237" s="14"/>
      <c r="N237" s="13" t="str">
        <f aca="false">IF(COUNTA($A237,$D237:$I237,$K237:$M237)=0,"",IF($A237="","Add Loan UID",IF(ISNA(MATCH($A237,'Loans (reference)'!$A$2:$A$500,0)),"UID not in Loans tab",IF($D237="","Add payment no.",IF(COUNTIFS($A$2:$A$300,$A237,$D$2:$D$300,$D237)&gt;1,"Duplicate payment no.",IF($E237="","Add payment date",IF(COUNT($F237:$H237)=0,"Add an amount","Ready")))))))</f>
        <v/>
      </c>
      <c r="O237" s="18"/>
      <c r="P237" s="19"/>
    </row>
    <row r="238" customFormat="false" ht="15" hidden="false" customHeight="false" outlineLevel="0" collapsed="false">
      <c r="A238" s="12"/>
      <c r="B238" s="13" t="str">
        <f aca="false">IF($A238="","",IFERROR(INDEX('Loans (reference)'!$B$2:$B$500,MATCH($A238,'Loans (reference)'!$A$2:$A$500,0)),"not found"))</f>
        <v/>
      </c>
      <c r="C238" s="13" t="str">
        <f aca="false">IF($A238="","",IFERROR(INDEX('Loans (reference)'!$K$2:$K$500,MATCH($A238,'Loans (reference)'!$A$2:$A$500,0)),""))</f>
        <v/>
      </c>
      <c r="D238" s="14"/>
      <c r="E238" s="15"/>
      <c r="F238" s="16"/>
      <c r="G238" s="16"/>
      <c r="H238" s="16"/>
      <c r="I238" s="16"/>
      <c r="J238" s="17" t="str">
        <f aca="false">IF(COUNT($F238:$H238)=0,"",SUM($F238:$H238))</f>
        <v/>
      </c>
      <c r="K238" s="14"/>
      <c r="L238" s="14"/>
      <c r="M238" s="14"/>
      <c r="N238" s="13" t="str">
        <f aca="false">IF(COUNTA($A238,$D238:$I238,$K238:$M238)=0,"",IF($A238="","Add Loan UID",IF(ISNA(MATCH($A238,'Loans (reference)'!$A$2:$A$500,0)),"UID not in Loans tab",IF($D238="","Add payment no.",IF(COUNTIFS($A$2:$A$300,$A238,$D$2:$D$300,$D238)&gt;1,"Duplicate payment no.",IF($E238="","Add payment date",IF(COUNT($F238:$H238)=0,"Add an amount","Ready")))))))</f>
        <v/>
      </c>
      <c r="O238" s="18"/>
      <c r="P238" s="19"/>
    </row>
    <row r="239" customFormat="false" ht="15" hidden="false" customHeight="false" outlineLevel="0" collapsed="false">
      <c r="A239" s="12"/>
      <c r="B239" s="13" t="str">
        <f aca="false">IF($A239="","",IFERROR(INDEX('Loans (reference)'!$B$2:$B$500,MATCH($A239,'Loans (reference)'!$A$2:$A$500,0)),"not found"))</f>
        <v/>
      </c>
      <c r="C239" s="13" t="str">
        <f aca="false">IF($A239="","",IFERROR(INDEX('Loans (reference)'!$K$2:$K$500,MATCH($A239,'Loans (reference)'!$A$2:$A$500,0)),""))</f>
        <v/>
      </c>
      <c r="D239" s="14"/>
      <c r="E239" s="15"/>
      <c r="F239" s="16"/>
      <c r="G239" s="16"/>
      <c r="H239" s="16"/>
      <c r="I239" s="16"/>
      <c r="J239" s="17" t="str">
        <f aca="false">IF(COUNT($F239:$H239)=0,"",SUM($F239:$H239))</f>
        <v/>
      </c>
      <c r="K239" s="14"/>
      <c r="L239" s="14"/>
      <c r="M239" s="14"/>
      <c r="N239" s="13" t="str">
        <f aca="false">IF(COUNTA($A239,$D239:$I239,$K239:$M239)=0,"",IF($A239="","Add Loan UID",IF(ISNA(MATCH($A239,'Loans (reference)'!$A$2:$A$500,0)),"UID not in Loans tab",IF($D239="","Add payment no.",IF(COUNTIFS($A$2:$A$300,$A239,$D$2:$D$300,$D239)&gt;1,"Duplicate payment no.",IF($E239="","Add payment date",IF(COUNT($F239:$H239)=0,"Add an amount","Ready")))))))</f>
        <v/>
      </c>
      <c r="O239" s="18"/>
      <c r="P239" s="19"/>
    </row>
    <row r="240" customFormat="false" ht="15" hidden="false" customHeight="false" outlineLevel="0" collapsed="false">
      <c r="A240" s="12"/>
      <c r="B240" s="13" t="str">
        <f aca="false">IF($A240="","",IFERROR(INDEX('Loans (reference)'!$B$2:$B$500,MATCH($A240,'Loans (reference)'!$A$2:$A$500,0)),"not found"))</f>
        <v/>
      </c>
      <c r="C240" s="13" t="str">
        <f aca="false">IF($A240="","",IFERROR(INDEX('Loans (reference)'!$K$2:$K$500,MATCH($A240,'Loans (reference)'!$A$2:$A$500,0)),""))</f>
        <v/>
      </c>
      <c r="D240" s="14"/>
      <c r="E240" s="15"/>
      <c r="F240" s="16"/>
      <c r="G240" s="16"/>
      <c r="H240" s="16"/>
      <c r="I240" s="16"/>
      <c r="J240" s="17" t="str">
        <f aca="false">IF(COUNT($F240:$H240)=0,"",SUM($F240:$H240))</f>
        <v/>
      </c>
      <c r="K240" s="14"/>
      <c r="L240" s="14"/>
      <c r="M240" s="14"/>
      <c r="N240" s="13" t="str">
        <f aca="false">IF(COUNTA($A240,$D240:$I240,$K240:$M240)=0,"",IF($A240="","Add Loan UID",IF(ISNA(MATCH($A240,'Loans (reference)'!$A$2:$A$500,0)),"UID not in Loans tab",IF($D240="","Add payment no.",IF(COUNTIFS($A$2:$A$300,$A240,$D$2:$D$300,$D240)&gt;1,"Duplicate payment no.",IF($E240="","Add payment date",IF(COUNT($F240:$H240)=0,"Add an amount","Ready")))))))</f>
        <v/>
      </c>
      <c r="O240" s="18"/>
      <c r="P240" s="19"/>
    </row>
    <row r="241" customFormat="false" ht="15" hidden="false" customHeight="false" outlineLevel="0" collapsed="false">
      <c r="A241" s="12"/>
      <c r="B241" s="13" t="str">
        <f aca="false">IF($A241="","",IFERROR(INDEX('Loans (reference)'!$B$2:$B$500,MATCH($A241,'Loans (reference)'!$A$2:$A$500,0)),"not found"))</f>
        <v/>
      </c>
      <c r="C241" s="13" t="str">
        <f aca="false">IF($A241="","",IFERROR(INDEX('Loans (reference)'!$K$2:$K$500,MATCH($A241,'Loans (reference)'!$A$2:$A$500,0)),""))</f>
        <v/>
      </c>
      <c r="D241" s="14"/>
      <c r="E241" s="15"/>
      <c r="F241" s="16"/>
      <c r="G241" s="16"/>
      <c r="H241" s="16"/>
      <c r="I241" s="16"/>
      <c r="J241" s="17" t="str">
        <f aca="false">IF(COUNT($F241:$H241)=0,"",SUM($F241:$H241))</f>
        <v/>
      </c>
      <c r="K241" s="14"/>
      <c r="L241" s="14"/>
      <c r="M241" s="14"/>
      <c r="N241" s="13" t="str">
        <f aca="false">IF(COUNTA($A241,$D241:$I241,$K241:$M241)=0,"",IF($A241="","Add Loan UID",IF(ISNA(MATCH($A241,'Loans (reference)'!$A$2:$A$500,0)),"UID not in Loans tab",IF($D241="","Add payment no.",IF(COUNTIFS($A$2:$A$300,$A241,$D$2:$D$300,$D241)&gt;1,"Duplicate payment no.",IF($E241="","Add payment date",IF(COUNT($F241:$H241)=0,"Add an amount","Ready")))))))</f>
        <v/>
      </c>
      <c r="O241" s="18"/>
      <c r="P241" s="19"/>
    </row>
    <row r="242" customFormat="false" ht="15" hidden="false" customHeight="false" outlineLevel="0" collapsed="false">
      <c r="A242" s="12"/>
      <c r="B242" s="13" t="str">
        <f aca="false">IF($A242="","",IFERROR(INDEX('Loans (reference)'!$B$2:$B$500,MATCH($A242,'Loans (reference)'!$A$2:$A$500,0)),"not found"))</f>
        <v/>
      </c>
      <c r="C242" s="13" t="str">
        <f aca="false">IF($A242="","",IFERROR(INDEX('Loans (reference)'!$K$2:$K$500,MATCH($A242,'Loans (reference)'!$A$2:$A$500,0)),""))</f>
        <v/>
      </c>
      <c r="D242" s="14"/>
      <c r="E242" s="15"/>
      <c r="F242" s="16"/>
      <c r="G242" s="16"/>
      <c r="H242" s="16"/>
      <c r="I242" s="16"/>
      <c r="J242" s="17" t="str">
        <f aca="false">IF(COUNT($F242:$H242)=0,"",SUM($F242:$H242))</f>
        <v/>
      </c>
      <c r="K242" s="14"/>
      <c r="L242" s="14"/>
      <c r="M242" s="14"/>
      <c r="N242" s="13" t="str">
        <f aca="false">IF(COUNTA($A242,$D242:$I242,$K242:$M242)=0,"",IF($A242="","Add Loan UID",IF(ISNA(MATCH($A242,'Loans (reference)'!$A$2:$A$500,0)),"UID not in Loans tab",IF($D242="","Add payment no.",IF(COUNTIFS($A$2:$A$300,$A242,$D$2:$D$300,$D242)&gt;1,"Duplicate payment no.",IF($E242="","Add payment date",IF(COUNT($F242:$H242)=0,"Add an amount","Ready")))))))</f>
        <v/>
      </c>
      <c r="O242" s="18"/>
      <c r="P242" s="19"/>
    </row>
    <row r="243" customFormat="false" ht="15" hidden="false" customHeight="false" outlineLevel="0" collapsed="false">
      <c r="A243" s="12"/>
      <c r="B243" s="13" t="str">
        <f aca="false">IF($A243="","",IFERROR(INDEX('Loans (reference)'!$B$2:$B$500,MATCH($A243,'Loans (reference)'!$A$2:$A$500,0)),"not found"))</f>
        <v/>
      </c>
      <c r="C243" s="13" t="str">
        <f aca="false">IF($A243="","",IFERROR(INDEX('Loans (reference)'!$K$2:$K$500,MATCH($A243,'Loans (reference)'!$A$2:$A$500,0)),""))</f>
        <v/>
      </c>
      <c r="D243" s="14"/>
      <c r="E243" s="15"/>
      <c r="F243" s="16"/>
      <c r="G243" s="16"/>
      <c r="H243" s="16"/>
      <c r="I243" s="16"/>
      <c r="J243" s="17" t="str">
        <f aca="false">IF(COUNT($F243:$H243)=0,"",SUM($F243:$H243))</f>
        <v/>
      </c>
      <c r="K243" s="14"/>
      <c r="L243" s="14"/>
      <c r="M243" s="14"/>
      <c r="N243" s="13" t="str">
        <f aca="false">IF(COUNTA($A243,$D243:$I243,$K243:$M243)=0,"",IF($A243="","Add Loan UID",IF(ISNA(MATCH($A243,'Loans (reference)'!$A$2:$A$500,0)),"UID not in Loans tab",IF($D243="","Add payment no.",IF(COUNTIFS($A$2:$A$300,$A243,$D$2:$D$300,$D243)&gt;1,"Duplicate payment no.",IF($E243="","Add payment date",IF(COUNT($F243:$H243)=0,"Add an amount","Ready")))))))</f>
        <v/>
      </c>
      <c r="O243" s="18"/>
      <c r="P243" s="19"/>
    </row>
    <row r="244" customFormat="false" ht="15" hidden="false" customHeight="false" outlineLevel="0" collapsed="false">
      <c r="A244" s="12"/>
      <c r="B244" s="13" t="str">
        <f aca="false">IF($A244="","",IFERROR(INDEX('Loans (reference)'!$B$2:$B$500,MATCH($A244,'Loans (reference)'!$A$2:$A$500,0)),"not found"))</f>
        <v/>
      </c>
      <c r="C244" s="13" t="str">
        <f aca="false">IF($A244="","",IFERROR(INDEX('Loans (reference)'!$K$2:$K$500,MATCH($A244,'Loans (reference)'!$A$2:$A$500,0)),""))</f>
        <v/>
      </c>
      <c r="D244" s="14"/>
      <c r="E244" s="15"/>
      <c r="F244" s="16"/>
      <c r="G244" s="16"/>
      <c r="H244" s="16"/>
      <c r="I244" s="16"/>
      <c r="J244" s="17" t="str">
        <f aca="false">IF(COUNT($F244:$H244)=0,"",SUM($F244:$H244))</f>
        <v/>
      </c>
      <c r="K244" s="14"/>
      <c r="L244" s="14"/>
      <c r="M244" s="14"/>
      <c r="N244" s="13" t="str">
        <f aca="false">IF(COUNTA($A244,$D244:$I244,$K244:$M244)=0,"",IF($A244="","Add Loan UID",IF(ISNA(MATCH($A244,'Loans (reference)'!$A$2:$A$500,0)),"UID not in Loans tab",IF($D244="","Add payment no.",IF(COUNTIFS($A$2:$A$300,$A244,$D$2:$D$300,$D244)&gt;1,"Duplicate payment no.",IF($E244="","Add payment date",IF(COUNT($F244:$H244)=0,"Add an amount","Ready")))))))</f>
        <v/>
      </c>
      <c r="O244" s="18"/>
      <c r="P244" s="19"/>
    </row>
    <row r="245" customFormat="false" ht="15" hidden="false" customHeight="false" outlineLevel="0" collapsed="false">
      <c r="A245" s="12"/>
      <c r="B245" s="13" t="str">
        <f aca="false">IF($A245="","",IFERROR(INDEX('Loans (reference)'!$B$2:$B$500,MATCH($A245,'Loans (reference)'!$A$2:$A$500,0)),"not found"))</f>
        <v/>
      </c>
      <c r="C245" s="13" t="str">
        <f aca="false">IF($A245="","",IFERROR(INDEX('Loans (reference)'!$K$2:$K$500,MATCH($A245,'Loans (reference)'!$A$2:$A$500,0)),""))</f>
        <v/>
      </c>
      <c r="D245" s="14"/>
      <c r="E245" s="15"/>
      <c r="F245" s="16"/>
      <c r="G245" s="16"/>
      <c r="H245" s="16"/>
      <c r="I245" s="16"/>
      <c r="J245" s="17" t="str">
        <f aca="false">IF(COUNT($F245:$H245)=0,"",SUM($F245:$H245))</f>
        <v/>
      </c>
      <c r="K245" s="14"/>
      <c r="L245" s="14"/>
      <c r="M245" s="14"/>
      <c r="N245" s="13" t="str">
        <f aca="false">IF(COUNTA($A245,$D245:$I245,$K245:$M245)=0,"",IF($A245="","Add Loan UID",IF(ISNA(MATCH($A245,'Loans (reference)'!$A$2:$A$500,0)),"UID not in Loans tab",IF($D245="","Add payment no.",IF(COUNTIFS($A$2:$A$300,$A245,$D$2:$D$300,$D245)&gt;1,"Duplicate payment no.",IF($E245="","Add payment date",IF(COUNT($F245:$H245)=0,"Add an amount","Ready")))))))</f>
        <v/>
      </c>
      <c r="O245" s="18"/>
      <c r="P245" s="19"/>
    </row>
    <row r="246" customFormat="false" ht="15" hidden="false" customHeight="false" outlineLevel="0" collapsed="false">
      <c r="A246" s="12"/>
      <c r="B246" s="13" t="str">
        <f aca="false">IF($A246="","",IFERROR(INDEX('Loans (reference)'!$B$2:$B$500,MATCH($A246,'Loans (reference)'!$A$2:$A$500,0)),"not found"))</f>
        <v/>
      </c>
      <c r="C246" s="13" t="str">
        <f aca="false">IF($A246="","",IFERROR(INDEX('Loans (reference)'!$K$2:$K$500,MATCH($A246,'Loans (reference)'!$A$2:$A$500,0)),""))</f>
        <v/>
      </c>
      <c r="D246" s="14"/>
      <c r="E246" s="15"/>
      <c r="F246" s="16"/>
      <c r="G246" s="16"/>
      <c r="H246" s="16"/>
      <c r="I246" s="16"/>
      <c r="J246" s="17" t="str">
        <f aca="false">IF(COUNT($F246:$H246)=0,"",SUM($F246:$H246))</f>
        <v/>
      </c>
      <c r="K246" s="14"/>
      <c r="L246" s="14"/>
      <c r="M246" s="14"/>
      <c r="N246" s="13" t="str">
        <f aca="false">IF(COUNTA($A246,$D246:$I246,$K246:$M246)=0,"",IF($A246="","Add Loan UID",IF(ISNA(MATCH($A246,'Loans (reference)'!$A$2:$A$500,0)),"UID not in Loans tab",IF($D246="","Add payment no.",IF(COUNTIFS($A$2:$A$300,$A246,$D$2:$D$300,$D246)&gt;1,"Duplicate payment no.",IF($E246="","Add payment date",IF(COUNT($F246:$H246)=0,"Add an amount","Ready")))))))</f>
        <v/>
      </c>
      <c r="O246" s="18"/>
      <c r="P246" s="19"/>
    </row>
    <row r="247" customFormat="false" ht="15" hidden="false" customHeight="false" outlineLevel="0" collapsed="false">
      <c r="A247" s="12"/>
      <c r="B247" s="13" t="str">
        <f aca="false">IF($A247="","",IFERROR(INDEX('Loans (reference)'!$B$2:$B$500,MATCH($A247,'Loans (reference)'!$A$2:$A$500,0)),"not found"))</f>
        <v/>
      </c>
      <c r="C247" s="13" t="str">
        <f aca="false">IF($A247="","",IFERROR(INDEX('Loans (reference)'!$K$2:$K$500,MATCH($A247,'Loans (reference)'!$A$2:$A$500,0)),""))</f>
        <v/>
      </c>
      <c r="D247" s="14"/>
      <c r="E247" s="15"/>
      <c r="F247" s="16"/>
      <c r="G247" s="16"/>
      <c r="H247" s="16"/>
      <c r="I247" s="16"/>
      <c r="J247" s="17" t="str">
        <f aca="false">IF(COUNT($F247:$H247)=0,"",SUM($F247:$H247))</f>
        <v/>
      </c>
      <c r="K247" s="14"/>
      <c r="L247" s="14"/>
      <c r="M247" s="14"/>
      <c r="N247" s="13" t="str">
        <f aca="false">IF(COUNTA($A247,$D247:$I247,$K247:$M247)=0,"",IF($A247="","Add Loan UID",IF(ISNA(MATCH($A247,'Loans (reference)'!$A$2:$A$500,0)),"UID not in Loans tab",IF($D247="","Add payment no.",IF(COUNTIFS($A$2:$A$300,$A247,$D$2:$D$300,$D247)&gt;1,"Duplicate payment no.",IF($E247="","Add payment date",IF(COUNT($F247:$H247)=0,"Add an amount","Ready")))))))</f>
        <v/>
      </c>
      <c r="O247" s="18"/>
      <c r="P247" s="19"/>
    </row>
    <row r="248" customFormat="false" ht="15" hidden="false" customHeight="false" outlineLevel="0" collapsed="false">
      <c r="A248" s="12"/>
      <c r="B248" s="13" t="str">
        <f aca="false">IF($A248="","",IFERROR(INDEX('Loans (reference)'!$B$2:$B$500,MATCH($A248,'Loans (reference)'!$A$2:$A$500,0)),"not found"))</f>
        <v/>
      </c>
      <c r="C248" s="13" t="str">
        <f aca="false">IF($A248="","",IFERROR(INDEX('Loans (reference)'!$K$2:$K$500,MATCH($A248,'Loans (reference)'!$A$2:$A$500,0)),""))</f>
        <v/>
      </c>
      <c r="D248" s="14"/>
      <c r="E248" s="15"/>
      <c r="F248" s="16"/>
      <c r="G248" s="16"/>
      <c r="H248" s="16"/>
      <c r="I248" s="16"/>
      <c r="J248" s="17" t="str">
        <f aca="false">IF(COUNT($F248:$H248)=0,"",SUM($F248:$H248))</f>
        <v/>
      </c>
      <c r="K248" s="14"/>
      <c r="L248" s="14"/>
      <c r="M248" s="14"/>
      <c r="N248" s="13" t="str">
        <f aca="false">IF(COUNTA($A248,$D248:$I248,$K248:$M248)=0,"",IF($A248="","Add Loan UID",IF(ISNA(MATCH($A248,'Loans (reference)'!$A$2:$A$500,0)),"UID not in Loans tab",IF($D248="","Add payment no.",IF(COUNTIFS($A$2:$A$300,$A248,$D$2:$D$300,$D248)&gt;1,"Duplicate payment no.",IF($E248="","Add payment date",IF(COUNT($F248:$H248)=0,"Add an amount","Ready")))))))</f>
        <v/>
      </c>
      <c r="O248" s="18"/>
      <c r="P248" s="19"/>
    </row>
    <row r="249" customFormat="false" ht="15" hidden="false" customHeight="false" outlineLevel="0" collapsed="false">
      <c r="A249" s="12"/>
      <c r="B249" s="13" t="str">
        <f aca="false">IF($A249="","",IFERROR(INDEX('Loans (reference)'!$B$2:$B$500,MATCH($A249,'Loans (reference)'!$A$2:$A$500,0)),"not found"))</f>
        <v/>
      </c>
      <c r="C249" s="13" t="str">
        <f aca="false">IF($A249="","",IFERROR(INDEX('Loans (reference)'!$K$2:$K$500,MATCH($A249,'Loans (reference)'!$A$2:$A$500,0)),""))</f>
        <v/>
      </c>
      <c r="D249" s="14"/>
      <c r="E249" s="15"/>
      <c r="F249" s="16"/>
      <c r="G249" s="16"/>
      <c r="H249" s="16"/>
      <c r="I249" s="16"/>
      <c r="J249" s="17" t="str">
        <f aca="false">IF(COUNT($F249:$H249)=0,"",SUM($F249:$H249))</f>
        <v/>
      </c>
      <c r="K249" s="14"/>
      <c r="L249" s="14"/>
      <c r="M249" s="14"/>
      <c r="N249" s="13" t="str">
        <f aca="false">IF(COUNTA($A249,$D249:$I249,$K249:$M249)=0,"",IF($A249="","Add Loan UID",IF(ISNA(MATCH($A249,'Loans (reference)'!$A$2:$A$500,0)),"UID not in Loans tab",IF($D249="","Add payment no.",IF(COUNTIFS($A$2:$A$300,$A249,$D$2:$D$300,$D249)&gt;1,"Duplicate payment no.",IF($E249="","Add payment date",IF(COUNT($F249:$H249)=0,"Add an amount","Ready")))))))</f>
        <v/>
      </c>
      <c r="O249" s="18"/>
      <c r="P249" s="19"/>
    </row>
    <row r="250" customFormat="false" ht="15" hidden="false" customHeight="false" outlineLevel="0" collapsed="false">
      <c r="A250" s="12"/>
      <c r="B250" s="13" t="str">
        <f aca="false">IF($A250="","",IFERROR(INDEX('Loans (reference)'!$B$2:$B$500,MATCH($A250,'Loans (reference)'!$A$2:$A$500,0)),"not found"))</f>
        <v/>
      </c>
      <c r="C250" s="13" t="str">
        <f aca="false">IF($A250="","",IFERROR(INDEX('Loans (reference)'!$K$2:$K$500,MATCH($A250,'Loans (reference)'!$A$2:$A$500,0)),""))</f>
        <v/>
      </c>
      <c r="D250" s="14"/>
      <c r="E250" s="15"/>
      <c r="F250" s="16"/>
      <c r="G250" s="16"/>
      <c r="H250" s="16"/>
      <c r="I250" s="16"/>
      <c r="J250" s="17" t="str">
        <f aca="false">IF(COUNT($F250:$H250)=0,"",SUM($F250:$H250))</f>
        <v/>
      </c>
      <c r="K250" s="14"/>
      <c r="L250" s="14"/>
      <c r="M250" s="14"/>
      <c r="N250" s="13" t="str">
        <f aca="false">IF(COUNTA($A250,$D250:$I250,$K250:$M250)=0,"",IF($A250="","Add Loan UID",IF(ISNA(MATCH($A250,'Loans (reference)'!$A$2:$A$500,0)),"UID not in Loans tab",IF($D250="","Add payment no.",IF(COUNTIFS($A$2:$A$300,$A250,$D$2:$D$300,$D250)&gt;1,"Duplicate payment no.",IF($E250="","Add payment date",IF(COUNT($F250:$H250)=0,"Add an amount","Ready")))))))</f>
        <v/>
      </c>
      <c r="O250" s="18"/>
      <c r="P250" s="19"/>
    </row>
    <row r="251" customFormat="false" ht="15" hidden="false" customHeight="false" outlineLevel="0" collapsed="false">
      <c r="A251" s="12"/>
      <c r="B251" s="13" t="str">
        <f aca="false">IF($A251="","",IFERROR(INDEX('Loans (reference)'!$B$2:$B$500,MATCH($A251,'Loans (reference)'!$A$2:$A$500,0)),"not found"))</f>
        <v/>
      </c>
      <c r="C251" s="13" t="str">
        <f aca="false">IF($A251="","",IFERROR(INDEX('Loans (reference)'!$K$2:$K$500,MATCH($A251,'Loans (reference)'!$A$2:$A$500,0)),""))</f>
        <v/>
      </c>
      <c r="D251" s="14"/>
      <c r="E251" s="15"/>
      <c r="F251" s="16"/>
      <c r="G251" s="16"/>
      <c r="H251" s="16"/>
      <c r="I251" s="16"/>
      <c r="J251" s="17" t="str">
        <f aca="false">IF(COUNT($F251:$H251)=0,"",SUM($F251:$H251))</f>
        <v/>
      </c>
      <c r="K251" s="14"/>
      <c r="L251" s="14"/>
      <c r="M251" s="14"/>
      <c r="N251" s="13" t="str">
        <f aca="false">IF(COUNTA($A251,$D251:$I251,$K251:$M251)=0,"",IF($A251="","Add Loan UID",IF(ISNA(MATCH($A251,'Loans (reference)'!$A$2:$A$500,0)),"UID not in Loans tab",IF($D251="","Add payment no.",IF(COUNTIFS($A$2:$A$300,$A251,$D$2:$D$300,$D251)&gt;1,"Duplicate payment no.",IF($E251="","Add payment date",IF(COUNT($F251:$H251)=0,"Add an amount","Ready")))))))</f>
        <v/>
      </c>
      <c r="O251" s="18"/>
      <c r="P251" s="19"/>
    </row>
    <row r="252" customFormat="false" ht="15" hidden="false" customHeight="false" outlineLevel="0" collapsed="false">
      <c r="A252" s="12"/>
      <c r="B252" s="13" t="str">
        <f aca="false">IF($A252="","",IFERROR(INDEX('Loans (reference)'!$B$2:$B$500,MATCH($A252,'Loans (reference)'!$A$2:$A$500,0)),"not found"))</f>
        <v/>
      </c>
      <c r="C252" s="13" t="str">
        <f aca="false">IF($A252="","",IFERROR(INDEX('Loans (reference)'!$K$2:$K$500,MATCH($A252,'Loans (reference)'!$A$2:$A$500,0)),""))</f>
        <v/>
      </c>
      <c r="D252" s="14"/>
      <c r="E252" s="15"/>
      <c r="F252" s="16"/>
      <c r="G252" s="16"/>
      <c r="H252" s="16"/>
      <c r="I252" s="16"/>
      <c r="J252" s="17" t="str">
        <f aca="false">IF(COUNT($F252:$H252)=0,"",SUM($F252:$H252))</f>
        <v/>
      </c>
      <c r="K252" s="14"/>
      <c r="L252" s="14"/>
      <c r="M252" s="14"/>
      <c r="N252" s="13" t="str">
        <f aca="false">IF(COUNTA($A252,$D252:$I252,$K252:$M252)=0,"",IF($A252="","Add Loan UID",IF(ISNA(MATCH($A252,'Loans (reference)'!$A$2:$A$500,0)),"UID not in Loans tab",IF($D252="","Add payment no.",IF(COUNTIFS($A$2:$A$300,$A252,$D$2:$D$300,$D252)&gt;1,"Duplicate payment no.",IF($E252="","Add payment date",IF(COUNT($F252:$H252)=0,"Add an amount","Ready")))))))</f>
        <v/>
      </c>
      <c r="O252" s="18"/>
      <c r="P252" s="19"/>
    </row>
    <row r="253" customFormat="false" ht="15" hidden="false" customHeight="false" outlineLevel="0" collapsed="false">
      <c r="A253" s="12"/>
      <c r="B253" s="13" t="str">
        <f aca="false">IF($A253="","",IFERROR(INDEX('Loans (reference)'!$B$2:$B$500,MATCH($A253,'Loans (reference)'!$A$2:$A$500,0)),"not found"))</f>
        <v/>
      </c>
      <c r="C253" s="13" t="str">
        <f aca="false">IF($A253="","",IFERROR(INDEX('Loans (reference)'!$K$2:$K$500,MATCH($A253,'Loans (reference)'!$A$2:$A$500,0)),""))</f>
        <v/>
      </c>
      <c r="D253" s="14"/>
      <c r="E253" s="15"/>
      <c r="F253" s="16"/>
      <c r="G253" s="16"/>
      <c r="H253" s="16"/>
      <c r="I253" s="16"/>
      <c r="J253" s="17" t="str">
        <f aca="false">IF(COUNT($F253:$H253)=0,"",SUM($F253:$H253))</f>
        <v/>
      </c>
      <c r="K253" s="14"/>
      <c r="L253" s="14"/>
      <c r="M253" s="14"/>
      <c r="N253" s="13" t="str">
        <f aca="false">IF(COUNTA($A253,$D253:$I253,$K253:$M253)=0,"",IF($A253="","Add Loan UID",IF(ISNA(MATCH($A253,'Loans (reference)'!$A$2:$A$500,0)),"UID not in Loans tab",IF($D253="","Add payment no.",IF(COUNTIFS($A$2:$A$300,$A253,$D$2:$D$300,$D253)&gt;1,"Duplicate payment no.",IF($E253="","Add payment date",IF(COUNT($F253:$H253)=0,"Add an amount","Ready")))))))</f>
        <v/>
      </c>
      <c r="O253" s="18"/>
      <c r="P253" s="19"/>
    </row>
    <row r="254" customFormat="false" ht="15" hidden="false" customHeight="false" outlineLevel="0" collapsed="false">
      <c r="A254" s="12"/>
      <c r="B254" s="13" t="str">
        <f aca="false">IF($A254="","",IFERROR(INDEX('Loans (reference)'!$B$2:$B$500,MATCH($A254,'Loans (reference)'!$A$2:$A$500,0)),"not found"))</f>
        <v/>
      </c>
      <c r="C254" s="13" t="str">
        <f aca="false">IF($A254="","",IFERROR(INDEX('Loans (reference)'!$K$2:$K$500,MATCH($A254,'Loans (reference)'!$A$2:$A$500,0)),""))</f>
        <v/>
      </c>
      <c r="D254" s="14"/>
      <c r="E254" s="15"/>
      <c r="F254" s="16"/>
      <c r="G254" s="16"/>
      <c r="H254" s="16"/>
      <c r="I254" s="16"/>
      <c r="J254" s="17" t="str">
        <f aca="false">IF(COUNT($F254:$H254)=0,"",SUM($F254:$H254))</f>
        <v/>
      </c>
      <c r="K254" s="14"/>
      <c r="L254" s="14"/>
      <c r="M254" s="14"/>
      <c r="N254" s="13" t="str">
        <f aca="false">IF(COUNTA($A254,$D254:$I254,$K254:$M254)=0,"",IF($A254="","Add Loan UID",IF(ISNA(MATCH($A254,'Loans (reference)'!$A$2:$A$500,0)),"UID not in Loans tab",IF($D254="","Add payment no.",IF(COUNTIFS($A$2:$A$300,$A254,$D$2:$D$300,$D254)&gt;1,"Duplicate payment no.",IF($E254="","Add payment date",IF(COUNT($F254:$H254)=0,"Add an amount","Ready")))))))</f>
        <v/>
      </c>
      <c r="O254" s="18"/>
      <c r="P254" s="19"/>
    </row>
    <row r="255" customFormat="false" ht="15" hidden="false" customHeight="false" outlineLevel="0" collapsed="false">
      <c r="A255" s="12"/>
      <c r="B255" s="13" t="str">
        <f aca="false">IF($A255="","",IFERROR(INDEX('Loans (reference)'!$B$2:$B$500,MATCH($A255,'Loans (reference)'!$A$2:$A$500,0)),"not found"))</f>
        <v/>
      </c>
      <c r="C255" s="13" t="str">
        <f aca="false">IF($A255="","",IFERROR(INDEX('Loans (reference)'!$K$2:$K$500,MATCH($A255,'Loans (reference)'!$A$2:$A$500,0)),""))</f>
        <v/>
      </c>
      <c r="D255" s="14"/>
      <c r="E255" s="15"/>
      <c r="F255" s="16"/>
      <c r="G255" s="16"/>
      <c r="H255" s="16"/>
      <c r="I255" s="16"/>
      <c r="J255" s="17" t="str">
        <f aca="false">IF(COUNT($F255:$H255)=0,"",SUM($F255:$H255))</f>
        <v/>
      </c>
      <c r="K255" s="14"/>
      <c r="L255" s="14"/>
      <c r="M255" s="14"/>
      <c r="N255" s="13" t="str">
        <f aca="false">IF(COUNTA($A255,$D255:$I255,$K255:$M255)=0,"",IF($A255="","Add Loan UID",IF(ISNA(MATCH($A255,'Loans (reference)'!$A$2:$A$500,0)),"UID not in Loans tab",IF($D255="","Add payment no.",IF(COUNTIFS($A$2:$A$300,$A255,$D$2:$D$300,$D255)&gt;1,"Duplicate payment no.",IF($E255="","Add payment date",IF(COUNT($F255:$H255)=0,"Add an amount","Ready")))))))</f>
        <v/>
      </c>
      <c r="O255" s="18"/>
      <c r="P255" s="19"/>
    </row>
    <row r="256" customFormat="false" ht="15" hidden="false" customHeight="false" outlineLevel="0" collapsed="false">
      <c r="A256" s="12"/>
      <c r="B256" s="13" t="str">
        <f aca="false">IF($A256="","",IFERROR(INDEX('Loans (reference)'!$B$2:$B$500,MATCH($A256,'Loans (reference)'!$A$2:$A$500,0)),"not found"))</f>
        <v/>
      </c>
      <c r="C256" s="13" t="str">
        <f aca="false">IF($A256="","",IFERROR(INDEX('Loans (reference)'!$K$2:$K$500,MATCH($A256,'Loans (reference)'!$A$2:$A$500,0)),""))</f>
        <v/>
      </c>
      <c r="D256" s="14"/>
      <c r="E256" s="15"/>
      <c r="F256" s="16"/>
      <c r="G256" s="16"/>
      <c r="H256" s="16"/>
      <c r="I256" s="16"/>
      <c r="J256" s="17" t="str">
        <f aca="false">IF(COUNT($F256:$H256)=0,"",SUM($F256:$H256))</f>
        <v/>
      </c>
      <c r="K256" s="14"/>
      <c r="L256" s="14"/>
      <c r="M256" s="14"/>
      <c r="N256" s="13" t="str">
        <f aca="false">IF(COUNTA($A256,$D256:$I256,$K256:$M256)=0,"",IF($A256="","Add Loan UID",IF(ISNA(MATCH($A256,'Loans (reference)'!$A$2:$A$500,0)),"UID not in Loans tab",IF($D256="","Add payment no.",IF(COUNTIFS($A$2:$A$300,$A256,$D$2:$D$300,$D256)&gt;1,"Duplicate payment no.",IF($E256="","Add payment date",IF(COUNT($F256:$H256)=0,"Add an amount","Ready")))))))</f>
        <v/>
      </c>
      <c r="O256" s="18"/>
      <c r="P256" s="19"/>
    </row>
    <row r="257" customFormat="false" ht="15" hidden="false" customHeight="false" outlineLevel="0" collapsed="false">
      <c r="A257" s="12"/>
      <c r="B257" s="13" t="str">
        <f aca="false">IF($A257="","",IFERROR(INDEX('Loans (reference)'!$B$2:$B$500,MATCH($A257,'Loans (reference)'!$A$2:$A$500,0)),"not found"))</f>
        <v/>
      </c>
      <c r="C257" s="13" t="str">
        <f aca="false">IF($A257="","",IFERROR(INDEX('Loans (reference)'!$K$2:$K$500,MATCH($A257,'Loans (reference)'!$A$2:$A$500,0)),""))</f>
        <v/>
      </c>
      <c r="D257" s="14"/>
      <c r="E257" s="15"/>
      <c r="F257" s="16"/>
      <c r="G257" s="16"/>
      <c r="H257" s="16"/>
      <c r="I257" s="16"/>
      <c r="J257" s="17" t="str">
        <f aca="false">IF(COUNT($F257:$H257)=0,"",SUM($F257:$H257))</f>
        <v/>
      </c>
      <c r="K257" s="14"/>
      <c r="L257" s="14"/>
      <c r="M257" s="14"/>
      <c r="N257" s="13" t="str">
        <f aca="false">IF(COUNTA($A257,$D257:$I257,$K257:$M257)=0,"",IF($A257="","Add Loan UID",IF(ISNA(MATCH($A257,'Loans (reference)'!$A$2:$A$500,0)),"UID not in Loans tab",IF($D257="","Add payment no.",IF(COUNTIFS($A$2:$A$300,$A257,$D$2:$D$300,$D257)&gt;1,"Duplicate payment no.",IF($E257="","Add payment date",IF(COUNT($F257:$H257)=0,"Add an amount","Ready")))))))</f>
        <v/>
      </c>
      <c r="O257" s="18"/>
      <c r="P257" s="19"/>
    </row>
    <row r="258" customFormat="false" ht="15" hidden="false" customHeight="false" outlineLevel="0" collapsed="false">
      <c r="A258" s="12"/>
      <c r="B258" s="13" t="str">
        <f aca="false">IF($A258="","",IFERROR(INDEX('Loans (reference)'!$B$2:$B$500,MATCH($A258,'Loans (reference)'!$A$2:$A$500,0)),"not found"))</f>
        <v/>
      </c>
      <c r="C258" s="13" t="str">
        <f aca="false">IF($A258="","",IFERROR(INDEX('Loans (reference)'!$K$2:$K$500,MATCH($A258,'Loans (reference)'!$A$2:$A$500,0)),""))</f>
        <v/>
      </c>
      <c r="D258" s="14"/>
      <c r="E258" s="15"/>
      <c r="F258" s="16"/>
      <c r="G258" s="16"/>
      <c r="H258" s="16"/>
      <c r="I258" s="16"/>
      <c r="J258" s="17" t="str">
        <f aca="false">IF(COUNT($F258:$H258)=0,"",SUM($F258:$H258))</f>
        <v/>
      </c>
      <c r="K258" s="14"/>
      <c r="L258" s="14"/>
      <c r="M258" s="14"/>
      <c r="N258" s="13" t="str">
        <f aca="false">IF(COUNTA($A258,$D258:$I258,$K258:$M258)=0,"",IF($A258="","Add Loan UID",IF(ISNA(MATCH($A258,'Loans (reference)'!$A$2:$A$500,0)),"UID not in Loans tab",IF($D258="","Add payment no.",IF(COUNTIFS($A$2:$A$300,$A258,$D$2:$D$300,$D258)&gt;1,"Duplicate payment no.",IF($E258="","Add payment date",IF(COUNT($F258:$H258)=0,"Add an amount","Ready")))))))</f>
        <v/>
      </c>
      <c r="O258" s="18"/>
      <c r="P258" s="19"/>
    </row>
    <row r="259" customFormat="false" ht="15" hidden="false" customHeight="false" outlineLevel="0" collapsed="false">
      <c r="A259" s="12"/>
      <c r="B259" s="13" t="str">
        <f aca="false">IF($A259="","",IFERROR(INDEX('Loans (reference)'!$B$2:$B$500,MATCH($A259,'Loans (reference)'!$A$2:$A$500,0)),"not found"))</f>
        <v/>
      </c>
      <c r="C259" s="13" t="str">
        <f aca="false">IF($A259="","",IFERROR(INDEX('Loans (reference)'!$K$2:$K$500,MATCH($A259,'Loans (reference)'!$A$2:$A$500,0)),""))</f>
        <v/>
      </c>
      <c r="D259" s="14"/>
      <c r="E259" s="15"/>
      <c r="F259" s="16"/>
      <c r="G259" s="16"/>
      <c r="H259" s="16"/>
      <c r="I259" s="16"/>
      <c r="J259" s="17" t="str">
        <f aca="false">IF(COUNT($F259:$H259)=0,"",SUM($F259:$H259))</f>
        <v/>
      </c>
      <c r="K259" s="14"/>
      <c r="L259" s="14"/>
      <c r="M259" s="14"/>
      <c r="N259" s="13" t="str">
        <f aca="false">IF(COUNTA($A259,$D259:$I259,$K259:$M259)=0,"",IF($A259="","Add Loan UID",IF(ISNA(MATCH($A259,'Loans (reference)'!$A$2:$A$500,0)),"UID not in Loans tab",IF($D259="","Add payment no.",IF(COUNTIFS($A$2:$A$300,$A259,$D$2:$D$300,$D259)&gt;1,"Duplicate payment no.",IF($E259="","Add payment date",IF(COUNT($F259:$H259)=0,"Add an amount","Ready")))))))</f>
        <v/>
      </c>
      <c r="O259" s="18"/>
      <c r="P259" s="19"/>
    </row>
    <row r="260" customFormat="false" ht="15" hidden="false" customHeight="false" outlineLevel="0" collapsed="false">
      <c r="A260" s="12"/>
      <c r="B260" s="13" t="str">
        <f aca="false">IF($A260="","",IFERROR(INDEX('Loans (reference)'!$B$2:$B$500,MATCH($A260,'Loans (reference)'!$A$2:$A$500,0)),"not found"))</f>
        <v/>
      </c>
      <c r="C260" s="13" t="str">
        <f aca="false">IF($A260="","",IFERROR(INDEX('Loans (reference)'!$K$2:$K$500,MATCH($A260,'Loans (reference)'!$A$2:$A$500,0)),""))</f>
        <v/>
      </c>
      <c r="D260" s="14"/>
      <c r="E260" s="15"/>
      <c r="F260" s="16"/>
      <c r="G260" s="16"/>
      <c r="H260" s="16"/>
      <c r="I260" s="16"/>
      <c r="J260" s="17" t="str">
        <f aca="false">IF(COUNT($F260:$H260)=0,"",SUM($F260:$H260))</f>
        <v/>
      </c>
      <c r="K260" s="14"/>
      <c r="L260" s="14"/>
      <c r="M260" s="14"/>
      <c r="N260" s="13" t="str">
        <f aca="false">IF(COUNTA($A260,$D260:$I260,$K260:$M260)=0,"",IF($A260="","Add Loan UID",IF(ISNA(MATCH($A260,'Loans (reference)'!$A$2:$A$500,0)),"UID not in Loans tab",IF($D260="","Add payment no.",IF(COUNTIFS($A$2:$A$300,$A260,$D$2:$D$300,$D260)&gt;1,"Duplicate payment no.",IF($E260="","Add payment date",IF(COUNT($F260:$H260)=0,"Add an amount","Ready")))))))</f>
        <v/>
      </c>
      <c r="O260" s="18"/>
      <c r="P260" s="19"/>
    </row>
    <row r="261" customFormat="false" ht="15" hidden="false" customHeight="false" outlineLevel="0" collapsed="false">
      <c r="A261" s="12"/>
      <c r="B261" s="13" t="str">
        <f aca="false">IF($A261="","",IFERROR(INDEX('Loans (reference)'!$B$2:$B$500,MATCH($A261,'Loans (reference)'!$A$2:$A$500,0)),"not found"))</f>
        <v/>
      </c>
      <c r="C261" s="13" t="str">
        <f aca="false">IF($A261="","",IFERROR(INDEX('Loans (reference)'!$K$2:$K$500,MATCH($A261,'Loans (reference)'!$A$2:$A$500,0)),""))</f>
        <v/>
      </c>
      <c r="D261" s="14"/>
      <c r="E261" s="15"/>
      <c r="F261" s="16"/>
      <c r="G261" s="16"/>
      <c r="H261" s="16"/>
      <c r="I261" s="16"/>
      <c r="J261" s="17" t="str">
        <f aca="false">IF(COUNT($F261:$H261)=0,"",SUM($F261:$H261))</f>
        <v/>
      </c>
      <c r="K261" s="14"/>
      <c r="L261" s="14"/>
      <c r="M261" s="14"/>
      <c r="N261" s="13" t="str">
        <f aca="false">IF(COUNTA($A261,$D261:$I261,$K261:$M261)=0,"",IF($A261="","Add Loan UID",IF(ISNA(MATCH($A261,'Loans (reference)'!$A$2:$A$500,0)),"UID not in Loans tab",IF($D261="","Add payment no.",IF(COUNTIFS($A$2:$A$300,$A261,$D$2:$D$300,$D261)&gt;1,"Duplicate payment no.",IF($E261="","Add payment date",IF(COUNT($F261:$H261)=0,"Add an amount","Ready")))))))</f>
        <v/>
      </c>
      <c r="O261" s="18"/>
      <c r="P261" s="19"/>
    </row>
    <row r="262" customFormat="false" ht="15" hidden="false" customHeight="false" outlineLevel="0" collapsed="false">
      <c r="A262" s="12"/>
      <c r="B262" s="13" t="str">
        <f aca="false">IF($A262="","",IFERROR(INDEX('Loans (reference)'!$B$2:$B$500,MATCH($A262,'Loans (reference)'!$A$2:$A$500,0)),"not found"))</f>
        <v/>
      </c>
      <c r="C262" s="13" t="str">
        <f aca="false">IF($A262="","",IFERROR(INDEX('Loans (reference)'!$K$2:$K$500,MATCH($A262,'Loans (reference)'!$A$2:$A$500,0)),""))</f>
        <v/>
      </c>
      <c r="D262" s="14"/>
      <c r="E262" s="15"/>
      <c r="F262" s="16"/>
      <c r="G262" s="16"/>
      <c r="H262" s="16"/>
      <c r="I262" s="16"/>
      <c r="J262" s="17" t="str">
        <f aca="false">IF(COUNT($F262:$H262)=0,"",SUM($F262:$H262))</f>
        <v/>
      </c>
      <c r="K262" s="14"/>
      <c r="L262" s="14"/>
      <c r="M262" s="14"/>
      <c r="N262" s="13" t="str">
        <f aca="false">IF(COUNTA($A262,$D262:$I262,$K262:$M262)=0,"",IF($A262="","Add Loan UID",IF(ISNA(MATCH($A262,'Loans (reference)'!$A$2:$A$500,0)),"UID not in Loans tab",IF($D262="","Add payment no.",IF(COUNTIFS($A$2:$A$300,$A262,$D$2:$D$300,$D262)&gt;1,"Duplicate payment no.",IF($E262="","Add payment date",IF(COUNT($F262:$H262)=0,"Add an amount","Ready")))))))</f>
        <v/>
      </c>
      <c r="O262" s="18"/>
      <c r="P262" s="19"/>
    </row>
    <row r="263" customFormat="false" ht="15" hidden="false" customHeight="false" outlineLevel="0" collapsed="false">
      <c r="A263" s="12"/>
      <c r="B263" s="13" t="str">
        <f aca="false">IF($A263="","",IFERROR(INDEX('Loans (reference)'!$B$2:$B$500,MATCH($A263,'Loans (reference)'!$A$2:$A$500,0)),"not found"))</f>
        <v/>
      </c>
      <c r="C263" s="13" t="str">
        <f aca="false">IF($A263="","",IFERROR(INDEX('Loans (reference)'!$K$2:$K$500,MATCH($A263,'Loans (reference)'!$A$2:$A$500,0)),""))</f>
        <v/>
      </c>
      <c r="D263" s="14"/>
      <c r="E263" s="15"/>
      <c r="F263" s="16"/>
      <c r="G263" s="16"/>
      <c r="H263" s="16"/>
      <c r="I263" s="16"/>
      <c r="J263" s="17" t="str">
        <f aca="false">IF(COUNT($F263:$H263)=0,"",SUM($F263:$H263))</f>
        <v/>
      </c>
      <c r="K263" s="14"/>
      <c r="L263" s="14"/>
      <c r="M263" s="14"/>
      <c r="N263" s="13" t="str">
        <f aca="false">IF(COUNTA($A263,$D263:$I263,$K263:$M263)=0,"",IF($A263="","Add Loan UID",IF(ISNA(MATCH($A263,'Loans (reference)'!$A$2:$A$500,0)),"UID not in Loans tab",IF($D263="","Add payment no.",IF(COUNTIFS($A$2:$A$300,$A263,$D$2:$D$300,$D263)&gt;1,"Duplicate payment no.",IF($E263="","Add payment date",IF(COUNT($F263:$H263)=0,"Add an amount","Ready")))))))</f>
        <v/>
      </c>
      <c r="O263" s="18"/>
      <c r="P263" s="19"/>
    </row>
    <row r="264" customFormat="false" ht="15" hidden="false" customHeight="false" outlineLevel="0" collapsed="false">
      <c r="A264" s="12"/>
      <c r="B264" s="13" t="str">
        <f aca="false">IF($A264="","",IFERROR(INDEX('Loans (reference)'!$B$2:$B$500,MATCH($A264,'Loans (reference)'!$A$2:$A$500,0)),"not found"))</f>
        <v/>
      </c>
      <c r="C264" s="13" t="str">
        <f aca="false">IF($A264="","",IFERROR(INDEX('Loans (reference)'!$K$2:$K$500,MATCH($A264,'Loans (reference)'!$A$2:$A$500,0)),""))</f>
        <v/>
      </c>
      <c r="D264" s="14"/>
      <c r="E264" s="15"/>
      <c r="F264" s="16"/>
      <c r="G264" s="16"/>
      <c r="H264" s="16"/>
      <c r="I264" s="16"/>
      <c r="J264" s="17" t="str">
        <f aca="false">IF(COUNT($F264:$H264)=0,"",SUM($F264:$H264))</f>
        <v/>
      </c>
      <c r="K264" s="14"/>
      <c r="L264" s="14"/>
      <c r="M264" s="14"/>
      <c r="N264" s="13" t="str">
        <f aca="false">IF(COUNTA($A264,$D264:$I264,$K264:$M264)=0,"",IF($A264="","Add Loan UID",IF(ISNA(MATCH($A264,'Loans (reference)'!$A$2:$A$500,0)),"UID not in Loans tab",IF($D264="","Add payment no.",IF(COUNTIFS($A$2:$A$300,$A264,$D$2:$D$300,$D264)&gt;1,"Duplicate payment no.",IF($E264="","Add payment date",IF(COUNT($F264:$H264)=0,"Add an amount","Ready")))))))</f>
        <v/>
      </c>
      <c r="O264" s="18"/>
      <c r="P264" s="19"/>
    </row>
    <row r="265" customFormat="false" ht="15" hidden="false" customHeight="false" outlineLevel="0" collapsed="false">
      <c r="A265" s="12"/>
      <c r="B265" s="13" t="str">
        <f aca="false">IF($A265="","",IFERROR(INDEX('Loans (reference)'!$B$2:$B$500,MATCH($A265,'Loans (reference)'!$A$2:$A$500,0)),"not found"))</f>
        <v/>
      </c>
      <c r="C265" s="13" t="str">
        <f aca="false">IF($A265="","",IFERROR(INDEX('Loans (reference)'!$K$2:$K$500,MATCH($A265,'Loans (reference)'!$A$2:$A$500,0)),""))</f>
        <v/>
      </c>
      <c r="D265" s="14"/>
      <c r="E265" s="15"/>
      <c r="F265" s="16"/>
      <c r="G265" s="16"/>
      <c r="H265" s="16"/>
      <c r="I265" s="16"/>
      <c r="J265" s="17" t="str">
        <f aca="false">IF(COUNT($F265:$H265)=0,"",SUM($F265:$H265))</f>
        <v/>
      </c>
      <c r="K265" s="14"/>
      <c r="L265" s="14"/>
      <c r="M265" s="14"/>
      <c r="N265" s="13" t="str">
        <f aca="false">IF(COUNTA($A265,$D265:$I265,$K265:$M265)=0,"",IF($A265="","Add Loan UID",IF(ISNA(MATCH($A265,'Loans (reference)'!$A$2:$A$500,0)),"UID not in Loans tab",IF($D265="","Add payment no.",IF(COUNTIFS($A$2:$A$300,$A265,$D$2:$D$300,$D265)&gt;1,"Duplicate payment no.",IF($E265="","Add payment date",IF(COUNT($F265:$H265)=0,"Add an amount","Ready")))))))</f>
        <v/>
      </c>
      <c r="O265" s="18"/>
      <c r="P265" s="19"/>
    </row>
    <row r="266" customFormat="false" ht="15" hidden="false" customHeight="false" outlineLevel="0" collapsed="false">
      <c r="A266" s="12"/>
      <c r="B266" s="13" t="str">
        <f aca="false">IF($A266="","",IFERROR(INDEX('Loans (reference)'!$B$2:$B$500,MATCH($A266,'Loans (reference)'!$A$2:$A$500,0)),"not found"))</f>
        <v/>
      </c>
      <c r="C266" s="13" t="str">
        <f aca="false">IF($A266="","",IFERROR(INDEX('Loans (reference)'!$K$2:$K$500,MATCH($A266,'Loans (reference)'!$A$2:$A$500,0)),""))</f>
        <v/>
      </c>
      <c r="D266" s="14"/>
      <c r="E266" s="15"/>
      <c r="F266" s="16"/>
      <c r="G266" s="16"/>
      <c r="H266" s="16"/>
      <c r="I266" s="16"/>
      <c r="J266" s="17" t="str">
        <f aca="false">IF(COUNT($F266:$H266)=0,"",SUM($F266:$H266))</f>
        <v/>
      </c>
      <c r="K266" s="14"/>
      <c r="L266" s="14"/>
      <c r="M266" s="14"/>
      <c r="N266" s="13" t="str">
        <f aca="false">IF(COUNTA($A266,$D266:$I266,$K266:$M266)=0,"",IF($A266="","Add Loan UID",IF(ISNA(MATCH($A266,'Loans (reference)'!$A$2:$A$500,0)),"UID not in Loans tab",IF($D266="","Add payment no.",IF(COUNTIFS($A$2:$A$300,$A266,$D$2:$D$300,$D266)&gt;1,"Duplicate payment no.",IF($E266="","Add payment date",IF(COUNT($F266:$H266)=0,"Add an amount","Ready")))))))</f>
        <v/>
      </c>
      <c r="O266" s="18"/>
      <c r="P266" s="19"/>
    </row>
    <row r="267" customFormat="false" ht="15" hidden="false" customHeight="false" outlineLevel="0" collapsed="false">
      <c r="A267" s="12"/>
      <c r="B267" s="13" t="str">
        <f aca="false">IF($A267="","",IFERROR(INDEX('Loans (reference)'!$B$2:$B$500,MATCH($A267,'Loans (reference)'!$A$2:$A$500,0)),"not found"))</f>
        <v/>
      </c>
      <c r="C267" s="13" t="str">
        <f aca="false">IF($A267="","",IFERROR(INDEX('Loans (reference)'!$K$2:$K$500,MATCH($A267,'Loans (reference)'!$A$2:$A$500,0)),""))</f>
        <v/>
      </c>
      <c r="D267" s="14"/>
      <c r="E267" s="15"/>
      <c r="F267" s="16"/>
      <c r="G267" s="16"/>
      <c r="H267" s="16"/>
      <c r="I267" s="16"/>
      <c r="J267" s="17" t="str">
        <f aca="false">IF(COUNT($F267:$H267)=0,"",SUM($F267:$H267))</f>
        <v/>
      </c>
      <c r="K267" s="14"/>
      <c r="L267" s="14"/>
      <c r="M267" s="14"/>
      <c r="N267" s="13" t="str">
        <f aca="false">IF(COUNTA($A267,$D267:$I267,$K267:$M267)=0,"",IF($A267="","Add Loan UID",IF(ISNA(MATCH($A267,'Loans (reference)'!$A$2:$A$500,0)),"UID not in Loans tab",IF($D267="","Add payment no.",IF(COUNTIFS($A$2:$A$300,$A267,$D$2:$D$300,$D267)&gt;1,"Duplicate payment no.",IF($E267="","Add payment date",IF(COUNT($F267:$H267)=0,"Add an amount","Ready")))))))</f>
        <v/>
      </c>
      <c r="O267" s="18"/>
      <c r="P267" s="19"/>
    </row>
    <row r="268" customFormat="false" ht="15" hidden="false" customHeight="false" outlineLevel="0" collapsed="false">
      <c r="A268" s="12"/>
      <c r="B268" s="13" t="str">
        <f aca="false">IF($A268="","",IFERROR(INDEX('Loans (reference)'!$B$2:$B$500,MATCH($A268,'Loans (reference)'!$A$2:$A$500,0)),"not found"))</f>
        <v/>
      </c>
      <c r="C268" s="13" t="str">
        <f aca="false">IF($A268="","",IFERROR(INDEX('Loans (reference)'!$K$2:$K$500,MATCH($A268,'Loans (reference)'!$A$2:$A$500,0)),""))</f>
        <v/>
      </c>
      <c r="D268" s="14"/>
      <c r="E268" s="15"/>
      <c r="F268" s="16"/>
      <c r="G268" s="16"/>
      <c r="H268" s="16"/>
      <c r="I268" s="16"/>
      <c r="J268" s="17" t="str">
        <f aca="false">IF(COUNT($F268:$H268)=0,"",SUM($F268:$H268))</f>
        <v/>
      </c>
      <c r="K268" s="14"/>
      <c r="L268" s="14"/>
      <c r="M268" s="14"/>
      <c r="N268" s="13" t="str">
        <f aca="false">IF(COUNTA($A268,$D268:$I268,$K268:$M268)=0,"",IF($A268="","Add Loan UID",IF(ISNA(MATCH($A268,'Loans (reference)'!$A$2:$A$500,0)),"UID not in Loans tab",IF($D268="","Add payment no.",IF(COUNTIFS($A$2:$A$300,$A268,$D$2:$D$300,$D268)&gt;1,"Duplicate payment no.",IF($E268="","Add payment date",IF(COUNT($F268:$H268)=0,"Add an amount","Ready")))))))</f>
        <v/>
      </c>
      <c r="O268" s="18"/>
      <c r="P268" s="19"/>
    </row>
    <row r="269" customFormat="false" ht="15" hidden="false" customHeight="false" outlineLevel="0" collapsed="false">
      <c r="A269" s="12"/>
      <c r="B269" s="13" t="str">
        <f aca="false">IF($A269="","",IFERROR(INDEX('Loans (reference)'!$B$2:$B$500,MATCH($A269,'Loans (reference)'!$A$2:$A$500,0)),"not found"))</f>
        <v/>
      </c>
      <c r="C269" s="13" t="str">
        <f aca="false">IF($A269="","",IFERROR(INDEX('Loans (reference)'!$K$2:$K$500,MATCH($A269,'Loans (reference)'!$A$2:$A$500,0)),""))</f>
        <v/>
      </c>
      <c r="D269" s="14"/>
      <c r="E269" s="15"/>
      <c r="F269" s="16"/>
      <c r="G269" s="16"/>
      <c r="H269" s="16"/>
      <c r="I269" s="16"/>
      <c r="J269" s="17" t="str">
        <f aca="false">IF(COUNT($F269:$H269)=0,"",SUM($F269:$H269))</f>
        <v/>
      </c>
      <c r="K269" s="14"/>
      <c r="L269" s="14"/>
      <c r="M269" s="14"/>
      <c r="N269" s="13" t="str">
        <f aca="false">IF(COUNTA($A269,$D269:$I269,$K269:$M269)=0,"",IF($A269="","Add Loan UID",IF(ISNA(MATCH($A269,'Loans (reference)'!$A$2:$A$500,0)),"UID not in Loans tab",IF($D269="","Add payment no.",IF(COUNTIFS($A$2:$A$300,$A269,$D$2:$D$300,$D269)&gt;1,"Duplicate payment no.",IF($E269="","Add payment date",IF(COUNT($F269:$H269)=0,"Add an amount","Ready")))))))</f>
        <v/>
      </c>
      <c r="O269" s="18"/>
      <c r="P269" s="19"/>
    </row>
    <row r="270" customFormat="false" ht="15" hidden="false" customHeight="false" outlineLevel="0" collapsed="false">
      <c r="A270" s="12"/>
      <c r="B270" s="13" t="str">
        <f aca="false">IF($A270="","",IFERROR(INDEX('Loans (reference)'!$B$2:$B$500,MATCH($A270,'Loans (reference)'!$A$2:$A$500,0)),"not found"))</f>
        <v/>
      </c>
      <c r="C270" s="13" t="str">
        <f aca="false">IF($A270="","",IFERROR(INDEX('Loans (reference)'!$K$2:$K$500,MATCH($A270,'Loans (reference)'!$A$2:$A$500,0)),""))</f>
        <v/>
      </c>
      <c r="D270" s="14"/>
      <c r="E270" s="15"/>
      <c r="F270" s="16"/>
      <c r="G270" s="16"/>
      <c r="H270" s="16"/>
      <c r="I270" s="16"/>
      <c r="J270" s="17" t="str">
        <f aca="false">IF(COUNT($F270:$H270)=0,"",SUM($F270:$H270))</f>
        <v/>
      </c>
      <c r="K270" s="14"/>
      <c r="L270" s="14"/>
      <c r="M270" s="14"/>
      <c r="N270" s="13" t="str">
        <f aca="false">IF(COUNTA($A270,$D270:$I270,$K270:$M270)=0,"",IF($A270="","Add Loan UID",IF(ISNA(MATCH($A270,'Loans (reference)'!$A$2:$A$500,0)),"UID not in Loans tab",IF($D270="","Add payment no.",IF(COUNTIFS($A$2:$A$300,$A270,$D$2:$D$300,$D270)&gt;1,"Duplicate payment no.",IF($E270="","Add payment date",IF(COUNT($F270:$H270)=0,"Add an amount","Ready")))))))</f>
        <v/>
      </c>
      <c r="O270" s="18"/>
      <c r="P270" s="19"/>
    </row>
    <row r="271" customFormat="false" ht="15" hidden="false" customHeight="false" outlineLevel="0" collapsed="false">
      <c r="A271" s="12"/>
      <c r="B271" s="13" t="str">
        <f aca="false">IF($A271="","",IFERROR(INDEX('Loans (reference)'!$B$2:$B$500,MATCH($A271,'Loans (reference)'!$A$2:$A$500,0)),"not found"))</f>
        <v/>
      </c>
      <c r="C271" s="13" t="str">
        <f aca="false">IF($A271="","",IFERROR(INDEX('Loans (reference)'!$K$2:$K$500,MATCH($A271,'Loans (reference)'!$A$2:$A$500,0)),""))</f>
        <v/>
      </c>
      <c r="D271" s="14"/>
      <c r="E271" s="15"/>
      <c r="F271" s="16"/>
      <c r="G271" s="16"/>
      <c r="H271" s="16"/>
      <c r="I271" s="16"/>
      <c r="J271" s="17" t="str">
        <f aca="false">IF(COUNT($F271:$H271)=0,"",SUM($F271:$H271))</f>
        <v/>
      </c>
      <c r="K271" s="14"/>
      <c r="L271" s="14"/>
      <c r="M271" s="14"/>
      <c r="N271" s="13" t="str">
        <f aca="false">IF(COUNTA($A271,$D271:$I271,$K271:$M271)=0,"",IF($A271="","Add Loan UID",IF(ISNA(MATCH($A271,'Loans (reference)'!$A$2:$A$500,0)),"UID not in Loans tab",IF($D271="","Add payment no.",IF(COUNTIFS($A$2:$A$300,$A271,$D$2:$D$300,$D271)&gt;1,"Duplicate payment no.",IF($E271="","Add payment date",IF(COUNT($F271:$H271)=0,"Add an amount","Ready")))))))</f>
        <v/>
      </c>
      <c r="O271" s="18"/>
      <c r="P271" s="19"/>
    </row>
    <row r="272" customFormat="false" ht="15" hidden="false" customHeight="false" outlineLevel="0" collapsed="false">
      <c r="A272" s="12"/>
      <c r="B272" s="13" t="str">
        <f aca="false">IF($A272="","",IFERROR(INDEX('Loans (reference)'!$B$2:$B$500,MATCH($A272,'Loans (reference)'!$A$2:$A$500,0)),"not found"))</f>
        <v/>
      </c>
      <c r="C272" s="13" t="str">
        <f aca="false">IF($A272="","",IFERROR(INDEX('Loans (reference)'!$K$2:$K$500,MATCH($A272,'Loans (reference)'!$A$2:$A$500,0)),""))</f>
        <v/>
      </c>
      <c r="D272" s="14"/>
      <c r="E272" s="15"/>
      <c r="F272" s="16"/>
      <c r="G272" s="16"/>
      <c r="H272" s="16"/>
      <c r="I272" s="16"/>
      <c r="J272" s="17" t="str">
        <f aca="false">IF(COUNT($F272:$H272)=0,"",SUM($F272:$H272))</f>
        <v/>
      </c>
      <c r="K272" s="14"/>
      <c r="L272" s="14"/>
      <c r="M272" s="14"/>
      <c r="N272" s="13" t="str">
        <f aca="false">IF(COUNTA($A272,$D272:$I272,$K272:$M272)=0,"",IF($A272="","Add Loan UID",IF(ISNA(MATCH($A272,'Loans (reference)'!$A$2:$A$500,0)),"UID not in Loans tab",IF($D272="","Add payment no.",IF(COUNTIFS($A$2:$A$300,$A272,$D$2:$D$300,$D272)&gt;1,"Duplicate payment no.",IF($E272="","Add payment date",IF(COUNT($F272:$H272)=0,"Add an amount","Ready")))))))</f>
        <v/>
      </c>
      <c r="O272" s="18"/>
      <c r="P272" s="19"/>
    </row>
    <row r="273" customFormat="false" ht="15" hidden="false" customHeight="false" outlineLevel="0" collapsed="false">
      <c r="A273" s="12"/>
      <c r="B273" s="13" t="str">
        <f aca="false">IF($A273="","",IFERROR(INDEX('Loans (reference)'!$B$2:$B$500,MATCH($A273,'Loans (reference)'!$A$2:$A$500,0)),"not found"))</f>
        <v/>
      </c>
      <c r="C273" s="13" t="str">
        <f aca="false">IF($A273="","",IFERROR(INDEX('Loans (reference)'!$K$2:$K$500,MATCH($A273,'Loans (reference)'!$A$2:$A$500,0)),""))</f>
        <v/>
      </c>
      <c r="D273" s="14"/>
      <c r="E273" s="15"/>
      <c r="F273" s="16"/>
      <c r="G273" s="16"/>
      <c r="H273" s="16"/>
      <c r="I273" s="16"/>
      <c r="J273" s="17" t="str">
        <f aca="false">IF(COUNT($F273:$H273)=0,"",SUM($F273:$H273))</f>
        <v/>
      </c>
      <c r="K273" s="14"/>
      <c r="L273" s="14"/>
      <c r="M273" s="14"/>
      <c r="N273" s="13" t="str">
        <f aca="false">IF(COUNTA($A273,$D273:$I273,$K273:$M273)=0,"",IF($A273="","Add Loan UID",IF(ISNA(MATCH($A273,'Loans (reference)'!$A$2:$A$500,0)),"UID not in Loans tab",IF($D273="","Add payment no.",IF(COUNTIFS($A$2:$A$300,$A273,$D$2:$D$300,$D273)&gt;1,"Duplicate payment no.",IF($E273="","Add payment date",IF(COUNT($F273:$H273)=0,"Add an amount","Ready")))))))</f>
        <v/>
      </c>
      <c r="O273" s="18"/>
      <c r="P273" s="19"/>
    </row>
    <row r="274" customFormat="false" ht="15" hidden="false" customHeight="false" outlineLevel="0" collapsed="false">
      <c r="A274" s="12"/>
      <c r="B274" s="13" t="str">
        <f aca="false">IF($A274="","",IFERROR(INDEX('Loans (reference)'!$B$2:$B$500,MATCH($A274,'Loans (reference)'!$A$2:$A$500,0)),"not found"))</f>
        <v/>
      </c>
      <c r="C274" s="13" t="str">
        <f aca="false">IF($A274="","",IFERROR(INDEX('Loans (reference)'!$K$2:$K$500,MATCH($A274,'Loans (reference)'!$A$2:$A$500,0)),""))</f>
        <v/>
      </c>
      <c r="D274" s="14"/>
      <c r="E274" s="15"/>
      <c r="F274" s="16"/>
      <c r="G274" s="16"/>
      <c r="H274" s="16"/>
      <c r="I274" s="16"/>
      <c r="J274" s="17" t="str">
        <f aca="false">IF(COUNT($F274:$H274)=0,"",SUM($F274:$H274))</f>
        <v/>
      </c>
      <c r="K274" s="14"/>
      <c r="L274" s="14"/>
      <c r="M274" s="14"/>
      <c r="N274" s="13" t="str">
        <f aca="false">IF(COUNTA($A274,$D274:$I274,$K274:$M274)=0,"",IF($A274="","Add Loan UID",IF(ISNA(MATCH($A274,'Loans (reference)'!$A$2:$A$500,0)),"UID not in Loans tab",IF($D274="","Add payment no.",IF(COUNTIFS($A$2:$A$300,$A274,$D$2:$D$300,$D274)&gt;1,"Duplicate payment no.",IF($E274="","Add payment date",IF(COUNT($F274:$H274)=0,"Add an amount","Ready")))))))</f>
        <v/>
      </c>
      <c r="O274" s="18"/>
      <c r="P274" s="19"/>
    </row>
    <row r="275" customFormat="false" ht="15" hidden="false" customHeight="false" outlineLevel="0" collapsed="false">
      <c r="A275" s="12"/>
      <c r="B275" s="13" t="str">
        <f aca="false">IF($A275="","",IFERROR(INDEX('Loans (reference)'!$B$2:$B$500,MATCH($A275,'Loans (reference)'!$A$2:$A$500,0)),"not found"))</f>
        <v/>
      </c>
      <c r="C275" s="13" t="str">
        <f aca="false">IF($A275="","",IFERROR(INDEX('Loans (reference)'!$K$2:$K$500,MATCH($A275,'Loans (reference)'!$A$2:$A$500,0)),""))</f>
        <v/>
      </c>
      <c r="D275" s="14"/>
      <c r="E275" s="15"/>
      <c r="F275" s="16"/>
      <c r="G275" s="16"/>
      <c r="H275" s="16"/>
      <c r="I275" s="16"/>
      <c r="J275" s="17" t="str">
        <f aca="false">IF(COUNT($F275:$H275)=0,"",SUM($F275:$H275))</f>
        <v/>
      </c>
      <c r="K275" s="14"/>
      <c r="L275" s="14"/>
      <c r="M275" s="14"/>
      <c r="N275" s="13" t="str">
        <f aca="false">IF(COUNTA($A275,$D275:$I275,$K275:$M275)=0,"",IF($A275="","Add Loan UID",IF(ISNA(MATCH($A275,'Loans (reference)'!$A$2:$A$500,0)),"UID not in Loans tab",IF($D275="","Add payment no.",IF(COUNTIFS($A$2:$A$300,$A275,$D$2:$D$300,$D275)&gt;1,"Duplicate payment no.",IF($E275="","Add payment date",IF(COUNT($F275:$H275)=0,"Add an amount","Ready")))))))</f>
        <v/>
      </c>
      <c r="O275" s="18"/>
      <c r="P275" s="19"/>
    </row>
    <row r="276" customFormat="false" ht="15" hidden="false" customHeight="false" outlineLevel="0" collapsed="false">
      <c r="A276" s="12"/>
      <c r="B276" s="13" t="str">
        <f aca="false">IF($A276="","",IFERROR(INDEX('Loans (reference)'!$B$2:$B$500,MATCH($A276,'Loans (reference)'!$A$2:$A$500,0)),"not found"))</f>
        <v/>
      </c>
      <c r="C276" s="13" t="str">
        <f aca="false">IF($A276="","",IFERROR(INDEX('Loans (reference)'!$K$2:$K$500,MATCH($A276,'Loans (reference)'!$A$2:$A$500,0)),""))</f>
        <v/>
      </c>
      <c r="D276" s="14"/>
      <c r="E276" s="15"/>
      <c r="F276" s="16"/>
      <c r="G276" s="16"/>
      <c r="H276" s="16"/>
      <c r="I276" s="16"/>
      <c r="J276" s="17" t="str">
        <f aca="false">IF(COUNT($F276:$H276)=0,"",SUM($F276:$H276))</f>
        <v/>
      </c>
      <c r="K276" s="14"/>
      <c r="L276" s="14"/>
      <c r="M276" s="14"/>
      <c r="N276" s="13" t="str">
        <f aca="false">IF(COUNTA($A276,$D276:$I276,$K276:$M276)=0,"",IF($A276="","Add Loan UID",IF(ISNA(MATCH($A276,'Loans (reference)'!$A$2:$A$500,0)),"UID not in Loans tab",IF($D276="","Add payment no.",IF(COUNTIFS($A$2:$A$300,$A276,$D$2:$D$300,$D276)&gt;1,"Duplicate payment no.",IF($E276="","Add payment date",IF(COUNT($F276:$H276)=0,"Add an amount","Ready")))))))</f>
        <v/>
      </c>
      <c r="O276" s="18"/>
      <c r="P276" s="19"/>
    </row>
    <row r="277" customFormat="false" ht="15" hidden="false" customHeight="false" outlineLevel="0" collapsed="false">
      <c r="A277" s="12"/>
      <c r="B277" s="13" t="str">
        <f aca="false">IF($A277="","",IFERROR(INDEX('Loans (reference)'!$B$2:$B$500,MATCH($A277,'Loans (reference)'!$A$2:$A$500,0)),"not found"))</f>
        <v/>
      </c>
      <c r="C277" s="13" t="str">
        <f aca="false">IF($A277="","",IFERROR(INDEX('Loans (reference)'!$K$2:$K$500,MATCH($A277,'Loans (reference)'!$A$2:$A$500,0)),""))</f>
        <v/>
      </c>
      <c r="D277" s="14"/>
      <c r="E277" s="15"/>
      <c r="F277" s="16"/>
      <c r="G277" s="16"/>
      <c r="H277" s="16"/>
      <c r="I277" s="16"/>
      <c r="J277" s="17" t="str">
        <f aca="false">IF(COUNT($F277:$H277)=0,"",SUM($F277:$H277))</f>
        <v/>
      </c>
      <c r="K277" s="14"/>
      <c r="L277" s="14"/>
      <c r="M277" s="14"/>
      <c r="N277" s="13" t="str">
        <f aca="false">IF(COUNTA($A277,$D277:$I277,$K277:$M277)=0,"",IF($A277="","Add Loan UID",IF(ISNA(MATCH($A277,'Loans (reference)'!$A$2:$A$500,0)),"UID not in Loans tab",IF($D277="","Add payment no.",IF(COUNTIFS($A$2:$A$300,$A277,$D$2:$D$300,$D277)&gt;1,"Duplicate payment no.",IF($E277="","Add payment date",IF(COUNT($F277:$H277)=0,"Add an amount","Ready")))))))</f>
        <v/>
      </c>
      <c r="O277" s="18"/>
      <c r="P277" s="19"/>
    </row>
    <row r="278" customFormat="false" ht="15" hidden="false" customHeight="false" outlineLevel="0" collapsed="false">
      <c r="A278" s="12"/>
      <c r="B278" s="13" t="str">
        <f aca="false">IF($A278="","",IFERROR(INDEX('Loans (reference)'!$B$2:$B$500,MATCH($A278,'Loans (reference)'!$A$2:$A$500,0)),"not found"))</f>
        <v/>
      </c>
      <c r="C278" s="13" t="str">
        <f aca="false">IF($A278="","",IFERROR(INDEX('Loans (reference)'!$K$2:$K$500,MATCH($A278,'Loans (reference)'!$A$2:$A$500,0)),""))</f>
        <v/>
      </c>
      <c r="D278" s="14"/>
      <c r="E278" s="15"/>
      <c r="F278" s="16"/>
      <c r="G278" s="16"/>
      <c r="H278" s="16"/>
      <c r="I278" s="16"/>
      <c r="J278" s="17" t="str">
        <f aca="false">IF(COUNT($F278:$H278)=0,"",SUM($F278:$H278))</f>
        <v/>
      </c>
      <c r="K278" s="14"/>
      <c r="L278" s="14"/>
      <c r="M278" s="14"/>
      <c r="N278" s="13" t="str">
        <f aca="false">IF(COUNTA($A278,$D278:$I278,$K278:$M278)=0,"",IF($A278="","Add Loan UID",IF(ISNA(MATCH($A278,'Loans (reference)'!$A$2:$A$500,0)),"UID not in Loans tab",IF($D278="","Add payment no.",IF(COUNTIFS($A$2:$A$300,$A278,$D$2:$D$300,$D278)&gt;1,"Duplicate payment no.",IF($E278="","Add payment date",IF(COUNT($F278:$H278)=0,"Add an amount","Ready")))))))</f>
        <v/>
      </c>
      <c r="O278" s="18"/>
      <c r="P278" s="19"/>
    </row>
    <row r="279" customFormat="false" ht="15" hidden="false" customHeight="false" outlineLevel="0" collapsed="false">
      <c r="A279" s="12"/>
      <c r="B279" s="13" t="str">
        <f aca="false">IF($A279="","",IFERROR(INDEX('Loans (reference)'!$B$2:$B$500,MATCH($A279,'Loans (reference)'!$A$2:$A$500,0)),"not found"))</f>
        <v/>
      </c>
      <c r="C279" s="13" t="str">
        <f aca="false">IF($A279="","",IFERROR(INDEX('Loans (reference)'!$K$2:$K$500,MATCH($A279,'Loans (reference)'!$A$2:$A$500,0)),""))</f>
        <v/>
      </c>
      <c r="D279" s="14"/>
      <c r="E279" s="15"/>
      <c r="F279" s="16"/>
      <c r="G279" s="16"/>
      <c r="H279" s="16"/>
      <c r="I279" s="16"/>
      <c r="J279" s="17" t="str">
        <f aca="false">IF(COUNT($F279:$H279)=0,"",SUM($F279:$H279))</f>
        <v/>
      </c>
      <c r="K279" s="14"/>
      <c r="L279" s="14"/>
      <c r="M279" s="14"/>
      <c r="N279" s="13" t="str">
        <f aca="false">IF(COUNTA($A279,$D279:$I279,$K279:$M279)=0,"",IF($A279="","Add Loan UID",IF(ISNA(MATCH($A279,'Loans (reference)'!$A$2:$A$500,0)),"UID not in Loans tab",IF($D279="","Add payment no.",IF(COUNTIFS($A$2:$A$300,$A279,$D$2:$D$300,$D279)&gt;1,"Duplicate payment no.",IF($E279="","Add payment date",IF(COUNT($F279:$H279)=0,"Add an amount","Ready")))))))</f>
        <v/>
      </c>
      <c r="O279" s="18"/>
      <c r="P279" s="19"/>
    </row>
    <row r="280" customFormat="false" ht="15" hidden="false" customHeight="false" outlineLevel="0" collapsed="false">
      <c r="A280" s="12"/>
      <c r="B280" s="13" t="str">
        <f aca="false">IF($A280="","",IFERROR(INDEX('Loans (reference)'!$B$2:$B$500,MATCH($A280,'Loans (reference)'!$A$2:$A$500,0)),"not found"))</f>
        <v/>
      </c>
      <c r="C280" s="13" t="str">
        <f aca="false">IF($A280="","",IFERROR(INDEX('Loans (reference)'!$K$2:$K$500,MATCH($A280,'Loans (reference)'!$A$2:$A$500,0)),""))</f>
        <v/>
      </c>
      <c r="D280" s="14"/>
      <c r="E280" s="15"/>
      <c r="F280" s="16"/>
      <c r="G280" s="16"/>
      <c r="H280" s="16"/>
      <c r="I280" s="16"/>
      <c r="J280" s="17" t="str">
        <f aca="false">IF(COUNT($F280:$H280)=0,"",SUM($F280:$H280))</f>
        <v/>
      </c>
      <c r="K280" s="14"/>
      <c r="L280" s="14"/>
      <c r="M280" s="14"/>
      <c r="N280" s="13" t="str">
        <f aca="false">IF(COUNTA($A280,$D280:$I280,$K280:$M280)=0,"",IF($A280="","Add Loan UID",IF(ISNA(MATCH($A280,'Loans (reference)'!$A$2:$A$500,0)),"UID not in Loans tab",IF($D280="","Add payment no.",IF(COUNTIFS($A$2:$A$300,$A280,$D$2:$D$300,$D280)&gt;1,"Duplicate payment no.",IF($E280="","Add payment date",IF(COUNT($F280:$H280)=0,"Add an amount","Ready")))))))</f>
        <v/>
      </c>
      <c r="O280" s="18"/>
      <c r="P280" s="19"/>
    </row>
    <row r="281" customFormat="false" ht="15" hidden="false" customHeight="false" outlineLevel="0" collapsed="false">
      <c r="A281" s="12"/>
      <c r="B281" s="13" t="str">
        <f aca="false">IF($A281="","",IFERROR(INDEX('Loans (reference)'!$B$2:$B$500,MATCH($A281,'Loans (reference)'!$A$2:$A$500,0)),"not found"))</f>
        <v/>
      </c>
      <c r="C281" s="13" t="str">
        <f aca="false">IF($A281="","",IFERROR(INDEX('Loans (reference)'!$K$2:$K$500,MATCH($A281,'Loans (reference)'!$A$2:$A$500,0)),""))</f>
        <v/>
      </c>
      <c r="D281" s="14"/>
      <c r="E281" s="15"/>
      <c r="F281" s="16"/>
      <c r="G281" s="16"/>
      <c r="H281" s="16"/>
      <c r="I281" s="16"/>
      <c r="J281" s="17" t="str">
        <f aca="false">IF(COUNT($F281:$H281)=0,"",SUM($F281:$H281))</f>
        <v/>
      </c>
      <c r="K281" s="14"/>
      <c r="L281" s="14"/>
      <c r="M281" s="14"/>
      <c r="N281" s="13" t="str">
        <f aca="false">IF(COUNTA($A281,$D281:$I281,$K281:$M281)=0,"",IF($A281="","Add Loan UID",IF(ISNA(MATCH($A281,'Loans (reference)'!$A$2:$A$500,0)),"UID not in Loans tab",IF($D281="","Add payment no.",IF(COUNTIFS($A$2:$A$300,$A281,$D$2:$D$300,$D281)&gt;1,"Duplicate payment no.",IF($E281="","Add payment date",IF(COUNT($F281:$H281)=0,"Add an amount","Ready")))))))</f>
        <v/>
      </c>
      <c r="O281" s="18"/>
      <c r="P281" s="19"/>
    </row>
    <row r="282" customFormat="false" ht="15" hidden="false" customHeight="false" outlineLevel="0" collapsed="false">
      <c r="A282" s="12"/>
      <c r="B282" s="13" t="str">
        <f aca="false">IF($A282="","",IFERROR(INDEX('Loans (reference)'!$B$2:$B$500,MATCH($A282,'Loans (reference)'!$A$2:$A$500,0)),"not found"))</f>
        <v/>
      </c>
      <c r="C282" s="13" t="str">
        <f aca="false">IF($A282="","",IFERROR(INDEX('Loans (reference)'!$K$2:$K$500,MATCH($A282,'Loans (reference)'!$A$2:$A$500,0)),""))</f>
        <v/>
      </c>
      <c r="D282" s="14"/>
      <c r="E282" s="15"/>
      <c r="F282" s="16"/>
      <c r="G282" s="16"/>
      <c r="H282" s="16"/>
      <c r="I282" s="16"/>
      <c r="J282" s="17" t="str">
        <f aca="false">IF(COUNT($F282:$H282)=0,"",SUM($F282:$H282))</f>
        <v/>
      </c>
      <c r="K282" s="14"/>
      <c r="L282" s="14"/>
      <c r="M282" s="14"/>
      <c r="N282" s="13" t="str">
        <f aca="false">IF(COUNTA($A282,$D282:$I282,$K282:$M282)=0,"",IF($A282="","Add Loan UID",IF(ISNA(MATCH($A282,'Loans (reference)'!$A$2:$A$500,0)),"UID not in Loans tab",IF($D282="","Add payment no.",IF(COUNTIFS($A$2:$A$300,$A282,$D$2:$D$300,$D282)&gt;1,"Duplicate payment no.",IF($E282="","Add payment date",IF(COUNT($F282:$H282)=0,"Add an amount","Ready")))))))</f>
        <v/>
      </c>
      <c r="O282" s="18"/>
      <c r="P282" s="19"/>
    </row>
    <row r="283" customFormat="false" ht="15" hidden="false" customHeight="false" outlineLevel="0" collapsed="false">
      <c r="A283" s="12"/>
      <c r="B283" s="13" t="str">
        <f aca="false">IF($A283="","",IFERROR(INDEX('Loans (reference)'!$B$2:$B$500,MATCH($A283,'Loans (reference)'!$A$2:$A$500,0)),"not found"))</f>
        <v/>
      </c>
      <c r="C283" s="13" t="str">
        <f aca="false">IF($A283="","",IFERROR(INDEX('Loans (reference)'!$K$2:$K$500,MATCH($A283,'Loans (reference)'!$A$2:$A$500,0)),""))</f>
        <v/>
      </c>
      <c r="D283" s="14"/>
      <c r="E283" s="15"/>
      <c r="F283" s="16"/>
      <c r="G283" s="16"/>
      <c r="H283" s="16"/>
      <c r="I283" s="16"/>
      <c r="J283" s="17" t="str">
        <f aca="false">IF(COUNT($F283:$H283)=0,"",SUM($F283:$H283))</f>
        <v/>
      </c>
      <c r="K283" s="14"/>
      <c r="L283" s="14"/>
      <c r="M283" s="14"/>
      <c r="N283" s="13" t="str">
        <f aca="false">IF(COUNTA($A283,$D283:$I283,$K283:$M283)=0,"",IF($A283="","Add Loan UID",IF(ISNA(MATCH($A283,'Loans (reference)'!$A$2:$A$500,0)),"UID not in Loans tab",IF($D283="","Add payment no.",IF(COUNTIFS($A$2:$A$300,$A283,$D$2:$D$300,$D283)&gt;1,"Duplicate payment no.",IF($E283="","Add payment date",IF(COUNT($F283:$H283)=0,"Add an amount","Ready")))))))</f>
        <v/>
      </c>
      <c r="O283" s="18"/>
      <c r="P283" s="19"/>
    </row>
    <row r="284" customFormat="false" ht="15" hidden="false" customHeight="false" outlineLevel="0" collapsed="false">
      <c r="A284" s="12"/>
      <c r="B284" s="13" t="str">
        <f aca="false">IF($A284="","",IFERROR(INDEX('Loans (reference)'!$B$2:$B$500,MATCH($A284,'Loans (reference)'!$A$2:$A$500,0)),"not found"))</f>
        <v/>
      </c>
      <c r="C284" s="13" t="str">
        <f aca="false">IF($A284="","",IFERROR(INDEX('Loans (reference)'!$K$2:$K$500,MATCH($A284,'Loans (reference)'!$A$2:$A$500,0)),""))</f>
        <v/>
      </c>
      <c r="D284" s="14"/>
      <c r="E284" s="15"/>
      <c r="F284" s="16"/>
      <c r="G284" s="16"/>
      <c r="H284" s="16"/>
      <c r="I284" s="16"/>
      <c r="J284" s="17" t="str">
        <f aca="false">IF(COUNT($F284:$H284)=0,"",SUM($F284:$H284))</f>
        <v/>
      </c>
      <c r="K284" s="14"/>
      <c r="L284" s="14"/>
      <c r="M284" s="14"/>
      <c r="N284" s="13" t="str">
        <f aca="false">IF(COUNTA($A284,$D284:$I284,$K284:$M284)=0,"",IF($A284="","Add Loan UID",IF(ISNA(MATCH($A284,'Loans (reference)'!$A$2:$A$500,0)),"UID not in Loans tab",IF($D284="","Add payment no.",IF(COUNTIFS($A$2:$A$300,$A284,$D$2:$D$300,$D284)&gt;1,"Duplicate payment no.",IF($E284="","Add payment date",IF(COUNT($F284:$H284)=0,"Add an amount","Ready")))))))</f>
        <v/>
      </c>
      <c r="O284" s="18"/>
      <c r="P284" s="19"/>
    </row>
    <row r="285" customFormat="false" ht="15" hidden="false" customHeight="false" outlineLevel="0" collapsed="false">
      <c r="A285" s="12"/>
      <c r="B285" s="13" t="str">
        <f aca="false">IF($A285="","",IFERROR(INDEX('Loans (reference)'!$B$2:$B$500,MATCH($A285,'Loans (reference)'!$A$2:$A$500,0)),"not found"))</f>
        <v/>
      </c>
      <c r="C285" s="13" t="str">
        <f aca="false">IF($A285="","",IFERROR(INDEX('Loans (reference)'!$K$2:$K$500,MATCH($A285,'Loans (reference)'!$A$2:$A$500,0)),""))</f>
        <v/>
      </c>
      <c r="D285" s="14"/>
      <c r="E285" s="15"/>
      <c r="F285" s="16"/>
      <c r="G285" s="16"/>
      <c r="H285" s="16"/>
      <c r="I285" s="16"/>
      <c r="J285" s="17" t="str">
        <f aca="false">IF(COUNT($F285:$H285)=0,"",SUM($F285:$H285))</f>
        <v/>
      </c>
      <c r="K285" s="14"/>
      <c r="L285" s="14"/>
      <c r="M285" s="14"/>
      <c r="N285" s="13" t="str">
        <f aca="false">IF(COUNTA($A285,$D285:$I285,$K285:$M285)=0,"",IF($A285="","Add Loan UID",IF(ISNA(MATCH($A285,'Loans (reference)'!$A$2:$A$500,0)),"UID not in Loans tab",IF($D285="","Add payment no.",IF(COUNTIFS($A$2:$A$300,$A285,$D$2:$D$300,$D285)&gt;1,"Duplicate payment no.",IF($E285="","Add payment date",IF(COUNT($F285:$H285)=0,"Add an amount","Ready")))))))</f>
        <v/>
      </c>
      <c r="O285" s="18"/>
      <c r="P285" s="19"/>
    </row>
    <row r="286" customFormat="false" ht="15" hidden="false" customHeight="false" outlineLevel="0" collapsed="false">
      <c r="A286" s="12"/>
      <c r="B286" s="13" t="str">
        <f aca="false">IF($A286="","",IFERROR(INDEX('Loans (reference)'!$B$2:$B$500,MATCH($A286,'Loans (reference)'!$A$2:$A$500,0)),"not found"))</f>
        <v/>
      </c>
      <c r="C286" s="13" t="str">
        <f aca="false">IF($A286="","",IFERROR(INDEX('Loans (reference)'!$K$2:$K$500,MATCH($A286,'Loans (reference)'!$A$2:$A$500,0)),""))</f>
        <v/>
      </c>
      <c r="D286" s="14"/>
      <c r="E286" s="15"/>
      <c r="F286" s="16"/>
      <c r="G286" s="16"/>
      <c r="H286" s="16"/>
      <c r="I286" s="16"/>
      <c r="J286" s="17" t="str">
        <f aca="false">IF(COUNT($F286:$H286)=0,"",SUM($F286:$H286))</f>
        <v/>
      </c>
      <c r="K286" s="14"/>
      <c r="L286" s="14"/>
      <c r="M286" s="14"/>
      <c r="N286" s="13" t="str">
        <f aca="false">IF(COUNTA($A286,$D286:$I286,$K286:$M286)=0,"",IF($A286="","Add Loan UID",IF(ISNA(MATCH($A286,'Loans (reference)'!$A$2:$A$500,0)),"UID not in Loans tab",IF($D286="","Add payment no.",IF(COUNTIFS($A$2:$A$300,$A286,$D$2:$D$300,$D286)&gt;1,"Duplicate payment no.",IF($E286="","Add payment date",IF(COUNT($F286:$H286)=0,"Add an amount","Ready")))))))</f>
        <v/>
      </c>
      <c r="O286" s="18"/>
      <c r="P286" s="19"/>
    </row>
    <row r="287" customFormat="false" ht="15" hidden="false" customHeight="false" outlineLevel="0" collapsed="false">
      <c r="A287" s="12"/>
      <c r="B287" s="13" t="str">
        <f aca="false">IF($A287="","",IFERROR(INDEX('Loans (reference)'!$B$2:$B$500,MATCH($A287,'Loans (reference)'!$A$2:$A$500,0)),"not found"))</f>
        <v/>
      </c>
      <c r="C287" s="13" t="str">
        <f aca="false">IF($A287="","",IFERROR(INDEX('Loans (reference)'!$K$2:$K$500,MATCH($A287,'Loans (reference)'!$A$2:$A$500,0)),""))</f>
        <v/>
      </c>
      <c r="D287" s="14"/>
      <c r="E287" s="15"/>
      <c r="F287" s="16"/>
      <c r="G287" s="16"/>
      <c r="H287" s="16"/>
      <c r="I287" s="16"/>
      <c r="J287" s="17" t="str">
        <f aca="false">IF(COUNT($F287:$H287)=0,"",SUM($F287:$H287))</f>
        <v/>
      </c>
      <c r="K287" s="14"/>
      <c r="L287" s="14"/>
      <c r="M287" s="14"/>
      <c r="N287" s="13" t="str">
        <f aca="false">IF(COUNTA($A287,$D287:$I287,$K287:$M287)=0,"",IF($A287="","Add Loan UID",IF(ISNA(MATCH($A287,'Loans (reference)'!$A$2:$A$500,0)),"UID not in Loans tab",IF($D287="","Add payment no.",IF(COUNTIFS($A$2:$A$300,$A287,$D$2:$D$300,$D287)&gt;1,"Duplicate payment no.",IF($E287="","Add payment date",IF(COUNT($F287:$H287)=0,"Add an amount","Ready")))))))</f>
        <v/>
      </c>
      <c r="O287" s="18"/>
      <c r="P287" s="19"/>
    </row>
    <row r="288" customFormat="false" ht="15" hidden="false" customHeight="false" outlineLevel="0" collapsed="false">
      <c r="A288" s="12"/>
      <c r="B288" s="13" t="str">
        <f aca="false">IF($A288="","",IFERROR(INDEX('Loans (reference)'!$B$2:$B$500,MATCH($A288,'Loans (reference)'!$A$2:$A$500,0)),"not found"))</f>
        <v/>
      </c>
      <c r="C288" s="13" t="str">
        <f aca="false">IF($A288="","",IFERROR(INDEX('Loans (reference)'!$K$2:$K$500,MATCH($A288,'Loans (reference)'!$A$2:$A$500,0)),""))</f>
        <v/>
      </c>
      <c r="D288" s="14"/>
      <c r="E288" s="15"/>
      <c r="F288" s="16"/>
      <c r="G288" s="16"/>
      <c r="H288" s="16"/>
      <c r="I288" s="16"/>
      <c r="J288" s="17" t="str">
        <f aca="false">IF(COUNT($F288:$H288)=0,"",SUM($F288:$H288))</f>
        <v/>
      </c>
      <c r="K288" s="14"/>
      <c r="L288" s="14"/>
      <c r="M288" s="14"/>
      <c r="N288" s="13" t="str">
        <f aca="false">IF(COUNTA($A288,$D288:$I288,$K288:$M288)=0,"",IF($A288="","Add Loan UID",IF(ISNA(MATCH($A288,'Loans (reference)'!$A$2:$A$500,0)),"UID not in Loans tab",IF($D288="","Add payment no.",IF(COUNTIFS($A$2:$A$300,$A288,$D$2:$D$300,$D288)&gt;1,"Duplicate payment no.",IF($E288="","Add payment date",IF(COUNT($F288:$H288)=0,"Add an amount","Ready")))))))</f>
        <v/>
      </c>
      <c r="O288" s="18"/>
      <c r="P288" s="19"/>
    </row>
    <row r="289" customFormat="false" ht="15" hidden="false" customHeight="false" outlineLevel="0" collapsed="false">
      <c r="A289" s="12"/>
      <c r="B289" s="13" t="str">
        <f aca="false">IF($A289="","",IFERROR(INDEX('Loans (reference)'!$B$2:$B$500,MATCH($A289,'Loans (reference)'!$A$2:$A$500,0)),"not found"))</f>
        <v/>
      </c>
      <c r="C289" s="13" t="str">
        <f aca="false">IF($A289="","",IFERROR(INDEX('Loans (reference)'!$K$2:$K$500,MATCH($A289,'Loans (reference)'!$A$2:$A$500,0)),""))</f>
        <v/>
      </c>
      <c r="D289" s="14"/>
      <c r="E289" s="15"/>
      <c r="F289" s="16"/>
      <c r="G289" s="16"/>
      <c r="H289" s="16"/>
      <c r="I289" s="16"/>
      <c r="J289" s="17" t="str">
        <f aca="false">IF(COUNT($F289:$H289)=0,"",SUM($F289:$H289))</f>
        <v/>
      </c>
      <c r="K289" s="14"/>
      <c r="L289" s="14"/>
      <c r="M289" s="14"/>
      <c r="N289" s="13" t="str">
        <f aca="false">IF(COUNTA($A289,$D289:$I289,$K289:$M289)=0,"",IF($A289="","Add Loan UID",IF(ISNA(MATCH($A289,'Loans (reference)'!$A$2:$A$500,0)),"UID not in Loans tab",IF($D289="","Add payment no.",IF(COUNTIFS($A$2:$A$300,$A289,$D$2:$D$300,$D289)&gt;1,"Duplicate payment no.",IF($E289="","Add payment date",IF(COUNT($F289:$H289)=0,"Add an amount","Ready")))))))</f>
        <v/>
      </c>
      <c r="O289" s="18"/>
      <c r="P289" s="19"/>
    </row>
    <row r="290" customFormat="false" ht="15" hidden="false" customHeight="false" outlineLevel="0" collapsed="false">
      <c r="A290" s="12"/>
      <c r="B290" s="13" t="str">
        <f aca="false">IF($A290="","",IFERROR(INDEX('Loans (reference)'!$B$2:$B$500,MATCH($A290,'Loans (reference)'!$A$2:$A$500,0)),"not found"))</f>
        <v/>
      </c>
      <c r="C290" s="13" t="str">
        <f aca="false">IF($A290="","",IFERROR(INDEX('Loans (reference)'!$K$2:$K$500,MATCH($A290,'Loans (reference)'!$A$2:$A$500,0)),""))</f>
        <v/>
      </c>
      <c r="D290" s="14"/>
      <c r="E290" s="15"/>
      <c r="F290" s="16"/>
      <c r="G290" s="16"/>
      <c r="H290" s="16"/>
      <c r="I290" s="16"/>
      <c r="J290" s="17" t="str">
        <f aca="false">IF(COUNT($F290:$H290)=0,"",SUM($F290:$H290))</f>
        <v/>
      </c>
      <c r="K290" s="14"/>
      <c r="L290" s="14"/>
      <c r="M290" s="14"/>
      <c r="N290" s="13" t="str">
        <f aca="false">IF(COUNTA($A290,$D290:$I290,$K290:$M290)=0,"",IF($A290="","Add Loan UID",IF(ISNA(MATCH($A290,'Loans (reference)'!$A$2:$A$500,0)),"UID not in Loans tab",IF($D290="","Add payment no.",IF(COUNTIFS($A$2:$A$300,$A290,$D$2:$D$300,$D290)&gt;1,"Duplicate payment no.",IF($E290="","Add payment date",IF(COUNT($F290:$H290)=0,"Add an amount","Ready")))))))</f>
        <v/>
      </c>
      <c r="O290" s="18"/>
      <c r="P290" s="19"/>
    </row>
    <row r="291" customFormat="false" ht="15" hidden="false" customHeight="false" outlineLevel="0" collapsed="false">
      <c r="A291" s="12"/>
      <c r="B291" s="13" t="str">
        <f aca="false">IF($A291="","",IFERROR(INDEX('Loans (reference)'!$B$2:$B$500,MATCH($A291,'Loans (reference)'!$A$2:$A$500,0)),"not found"))</f>
        <v/>
      </c>
      <c r="C291" s="13" t="str">
        <f aca="false">IF($A291="","",IFERROR(INDEX('Loans (reference)'!$K$2:$K$500,MATCH($A291,'Loans (reference)'!$A$2:$A$500,0)),""))</f>
        <v/>
      </c>
      <c r="D291" s="14"/>
      <c r="E291" s="15"/>
      <c r="F291" s="16"/>
      <c r="G291" s="16"/>
      <c r="H291" s="16"/>
      <c r="I291" s="16"/>
      <c r="J291" s="17" t="str">
        <f aca="false">IF(COUNT($F291:$H291)=0,"",SUM($F291:$H291))</f>
        <v/>
      </c>
      <c r="K291" s="14"/>
      <c r="L291" s="14"/>
      <c r="M291" s="14"/>
      <c r="N291" s="13" t="str">
        <f aca="false">IF(COUNTA($A291,$D291:$I291,$K291:$M291)=0,"",IF($A291="","Add Loan UID",IF(ISNA(MATCH($A291,'Loans (reference)'!$A$2:$A$500,0)),"UID not in Loans tab",IF($D291="","Add payment no.",IF(COUNTIFS($A$2:$A$300,$A291,$D$2:$D$300,$D291)&gt;1,"Duplicate payment no.",IF($E291="","Add payment date",IF(COUNT($F291:$H291)=0,"Add an amount","Ready")))))))</f>
        <v/>
      </c>
      <c r="O291" s="18"/>
      <c r="P291" s="19"/>
    </row>
    <row r="292" customFormat="false" ht="15" hidden="false" customHeight="false" outlineLevel="0" collapsed="false">
      <c r="A292" s="12"/>
      <c r="B292" s="13" t="str">
        <f aca="false">IF($A292="","",IFERROR(INDEX('Loans (reference)'!$B$2:$B$500,MATCH($A292,'Loans (reference)'!$A$2:$A$500,0)),"not found"))</f>
        <v/>
      </c>
      <c r="C292" s="13" t="str">
        <f aca="false">IF($A292="","",IFERROR(INDEX('Loans (reference)'!$K$2:$K$500,MATCH($A292,'Loans (reference)'!$A$2:$A$500,0)),""))</f>
        <v/>
      </c>
      <c r="D292" s="14"/>
      <c r="E292" s="15"/>
      <c r="F292" s="16"/>
      <c r="G292" s="16"/>
      <c r="H292" s="16"/>
      <c r="I292" s="16"/>
      <c r="J292" s="17" t="str">
        <f aca="false">IF(COUNT($F292:$H292)=0,"",SUM($F292:$H292))</f>
        <v/>
      </c>
      <c r="K292" s="14"/>
      <c r="L292" s="14"/>
      <c r="M292" s="14"/>
      <c r="N292" s="13" t="str">
        <f aca="false">IF(COUNTA($A292,$D292:$I292,$K292:$M292)=0,"",IF($A292="","Add Loan UID",IF(ISNA(MATCH($A292,'Loans (reference)'!$A$2:$A$500,0)),"UID not in Loans tab",IF($D292="","Add payment no.",IF(COUNTIFS($A$2:$A$300,$A292,$D$2:$D$300,$D292)&gt;1,"Duplicate payment no.",IF($E292="","Add payment date",IF(COUNT($F292:$H292)=0,"Add an amount","Ready")))))))</f>
        <v/>
      </c>
      <c r="O292" s="18"/>
      <c r="P292" s="19"/>
    </row>
    <row r="293" customFormat="false" ht="15" hidden="false" customHeight="false" outlineLevel="0" collapsed="false">
      <c r="A293" s="12"/>
      <c r="B293" s="13" t="str">
        <f aca="false">IF($A293="","",IFERROR(INDEX('Loans (reference)'!$B$2:$B$500,MATCH($A293,'Loans (reference)'!$A$2:$A$500,0)),"not found"))</f>
        <v/>
      </c>
      <c r="C293" s="13" t="str">
        <f aca="false">IF($A293="","",IFERROR(INDEX('Loans (reference)'!$K$2:$K$500,MATCH($A293,'Loans (reference)'!$A$2:$A$500,0)),""))</f>
        <v/>
      </c>
      <c r="D293" s="14"/>
      <c r="E293" s="15"/>
      <c r="F293" s="16"/>
      <c r="G293" s="16"/>
      <c r="H293" s="16"/>
      <c r="I293" s="16"/>
      <c r="J293" s="17" t="str">
        <f aca="false">IF(COUNT($F293:$H293)=0,"",SUM($F293:$H293))</f>
        <v/>
      </c>
      <c r="K293" s="14"/>
      <c r="L293" s="14"/>
      <c r="M293" s="14"/>
      <c r="N293" s="13" t="str">
        <f aca="false">IF(COUNTA($A293,$D293:$I293,$K293:$M293)=0,"",IF($A293="","Add Loan UID",IF(ISNA(MATCH($A293,'Loans (reference)'!$A$2:$A$500,0)),"UID not in Loans tab",IF($D293="","Add payment no.",IF(COUNTIFS($A$2:$A$300,$A293,$D$2:$D$300,$D293)&gt;1,"Duplicate payment no.",IF($E293="","Add payment date",IF(COUNT($F293:$H293)=0,"Add an amount","Ready")))))))</f>
        <v/>
      </c>
      <c r="O293" s="18"/>
      <c r="P293" s="19"/>
    </row>
    <row r="294" customFormat="false" ht="15" hidden="false" customHeight="false" outlineLevel="0" collapsed="false">
      <c r="A294" s="12"/>
      <c r="B294" s="13" t="str">
        <f aca="false">IF($A294="","",IFERROR(INDEX('Loans (reference)'!$B$2:$B$500,MATCH($A294,'Loans (reference)'!$A$2:$A$500,0)),"not found"))</f>
        <v/>
      </c>
      <c r="C294" s="13" t="str">
        <f aca="false">IF($A294="","",IFERROR(INDEX('Loans (reference)'!$K$2:$K$500,MATCH($A294,'Loans (reference)'!$A$2:$A$500,0)),""))</f>
        <v/>
      </c>
      <c r="D294" s="14"/>
      <c r="E294" s="15"/>
      <c r="F294" s="16"/>
      <c r="G294" s="16"/>
      <c r="H294" s="16"/>
      <c r="I294" s="16"/>
      <c r="J294" s="17" t="str">
        <f aca="false">IF(COUNT($F294:$H294)=0,"",SUM($F294:$H294))</f>
        <v/>
      </c>
      <c r="K294" s="14"/>
      <c r="L294" s="14"/>
      <c r="M294" s="14"/>
      <c r="N294" s="13" t="str">
        <f aca="false">IF(COUNTA($A294,$D294:$I294,$K294:$M294)=0,"",IF($A294="","Add Loan UID",IF(ISNA(MATCH($A294,'Loans (reference)'!$A$2:$A$500,0)),"UID not in Loans tab",IF($D294="","Add payment no.",IF(COUNTIFS($A$2:$A$300,$A294,$D$2:$D$300,$D294)&gt;1,"Duplicate payment no.",IF($E294="","Add payment date",IF(COUNT($F294:$H294)=0,"Add an amount","Ready")))))))</f>
        <v/>
      </c>
      <c r="O294" s="18"/>
      <c r="P294" s="19"/>
    </row>
    <row r="295" customFormat="false" ht="15" hidden="false" customHeight="false" outlineLevel="0" collapsed="false">
      <c r="A295" s="12"/>
      <c r="B295" s="13" t="str">
        <f aca="false">IF($A295="","",IFERROR(INDEX('Loans (reference)'!$B$2:$B$500,MATCH($A295,'Loans (reference)'!$A$2:$A$500,0)),"not found"))</f>
        <v/>
      </c>
      <c r="C295" s="13" t="str">
        <f aca="false">IF($A295="","",IFERROR(INDEX('Loans (reference)'!$K$2:$K$500,MATCH($A295,'Loans (reference)'!$A$2:$A$500,0)),""))</f>
        <v/>
      </c>
      <c r="D295" s="14"/>
      <c r="E295" s="15"/>
      <c r="F295" s="16"/>
      <c r="G295" s="16"/>
      <c r="H295" s="16"/>
      <c r="I295" s="16"/>
      <c r="J295" s="17" t="str">
        <f aca="false">IF(COUNT($F295:$H295)=0,"",SUM($F295:$H295))</f>
        <v/>
      </c>
      <c r="K295" s="14"/>
      <c r="L295" s="14"/>
      <c r="M295" s="14"/>
      <c r="N295" s="13" t="str">
        <f aca="false">IF(COUNTA($A295,$D295:$I295,$K295:$M295)=0,"",IF($A295="","Add Loan UID",IF(ISNA(MATCH($A295,'Loans (reference)'!$A$2:$A$500,0)),"UID not in Loans tab",IF($D295="","Add payment no.",IF(COUNTIFS($A$2:$A$300,$A295,$D$2:$D$300,$D295)&gt;1,"Duplicate payment no.",IF($E295="","Add payment date",IF(COUNT($F295:$H295)=0,"Add an amount","Ready")))))))</f>
        <v/>
      </c>
      <c r="O295" s="18"/>
      <c r="P295" s="19"/>
    </row>
    <row r="296" customFormat="false" ht="15" hidden="false" customHeight="false" outlineLevel="0" collapsed="false">
      <c r="A296" s="12"/>
      <c r="B296" s="13" t="str">
        <f aca="false">IF($A296="","",IFERROR(INDEX('Loans (reference)'!$B$2:$B$500,MATCH($A296,'Loans (reference)'!$A$2:$A$500,0)),"not found"))</f>
        <v/>
      </c>
      <c r="C296" s="13" t="str">
        <f aca="false">IF($A296="","",IFERROR(INDEX('Loans (reference)'!$K$2:$K$500,MATCH($A296,'Loans (reference)'!$A$2:$A$500,0)),""))</f>
        <v/>
      </c>
      <c r="D296" s="14"/>
      <c r="E296" s="15"/>
      <c r="F296" s="16"/>
      <c r="G296" s="16"/>
      <c r="H296" s="16"/>
      <c r="I296" s="16"/>
      <c r="J296" s="17" t="str">
        <f aca="false">IF(COUNT($F296:$H296)=0,"",SUM($F296:$H296))</f>
        <v/>
      </c>
      <c r="K296" s="14"/>
      <c r="L296" s="14"/>
      <c r="M296" s="14"/>
      <c r="N296" s="13" t="str">
        <f aca="false">IF(COUNTA($A296,$D296:$I296,$K296:$M296)=0,"",IF($A296="","Add Loan UID",IF(ISNA(MATCH($A296,'Loans (reference)'!$A$2:$A$500,0)),"UID not in Loans tab",IF($D296="","Add payment no.",IF(COUNTIFS($A$2:$A$300,$A296,$D$2:$D$300,$D296)&gt;1,"Duplicate payment no.",IF($E296="","Add payment date",IF(COUNT($F296:$H296)=0,"Add an amount","Ready")))))))</f>
        <v/>
      </c>
      <c r="O296" s="18"/>
      <c r="P296" s="19"/>
    </row>
    <row r="297" customFormat="false" ht="15" hidden="false" customHeight="false" outlineLevel="0" collapsed="false">
      <c r="A297" s="12"/>
      <c r="B297" s="13" t="str">
        <f aca="false">IF($A297="","",IFERROR(INDEX('Loans (reference)'!$B$2:$B$500,MATCH($A297,'Loans (reference)'!$A$2:$A$500,0)),"not found"))</f>
        <v/>
      </c>
      <c r="C297" s="13" t="str">
        <f aca="false">IF($A297="","",IFERROR(INDEX('Loans (reference)'!$K$2:$K$500,MATCH($A297,'Loans (reference)'!$A$2:$A$500,0)),""))</f>
        <v/>
      </c>
      <c r="D297" s="14"/>
      <c r="E297" s="15"/>
      <c r="F297" s="16"/>
      <c r="G297" s="16"/>
      <c r="H297" s="16"/>
      <c r="I297" s="16"/>
      <c r="J297" s="17" t="str">
        <f aca="false">IF(COUNT($F297:$H297)=0,"",SUM($F297:$H297))</f>
        <v/>
      </c>
      <c r="K297" s="14"/>
      <c r="L297" s="14"/>
      <c r="M297" s="14"/>
      <c r="N297" s="13" t="str">
        <f aca="false">IF(COUNTA($A297,$D297:$I297,$K297:$M297)=0,"",IF($A297="","Add Loan UID",IF(ISNA(MATCH($A297,'Loans (reference)'!$A$2:$A$500,0)),"UID not in Loans tab",IF($D297="","Add payment no.",IF(COUNTIFS($A$2:$A$300,$A297,$D$2:$D$300,$D297)&gt;1,"Duplicate payment no.",IF($E297="","Add payment date",IF(COUNT($F297:$H297)=0,"Add an amount","Ready")))))))</f>
        <v/>
      </c>
      <c r="O297" s="18"/>
      <c r="P297" s="19"/>
    </row>
    <row r="298" customFormat="false" ht="15" hidden="false" customHeight="false" outlineLevel="0" collapsed="false">
      <c r="A298" s="12"/>
      <c r="B298" s="13" t="str">
        <f aca="false">IF($A298="","",IFERROR(INDEX('Loans (reference)'!$B$2:$B$500,MATCH($A298,'Loans (reference)'!$A$2:$A$500,0)),"not found"))</f>
        <v/>
      </c>
      <c r="C298" s="13" t="str">
        <f aca="false">IF($A298="","",IFERROR(INDEX('Loans (reference)'!$K$2:$K$500,MATCH($A298,'Loans (reference)'!$A$2:$A$500,0)),""))</f>
        <v/>
      </c>
      <c r="D298" s="14"/>
      <c r="E298" s="15"/>
      <c r="F298" s="16"/>
      <c r="G298" s="16"/>
      <c r="H298" s="16"/>
      <c r="I298" s="16"/>
      <c r="J298" s="17" t="str">
        <f aca="false">IF(COUNT($F298:$H298)=0,"",SUM($F298:$H298))</f>
        <v/>
      </c>
      <c r="K298" s="14"/>
      <c r="L298" s="14"/>
      <c r="M298" s="14"/>
      <c r="N298" s="13" t="str">
        <f aca="false">IF(COUNTA($A298,$D298:$I298,$K298:$M298)=0,"",IF($A298="","Add Loan UID",IF(ISNA(MATCH($A298,'Loans (reference)'!$A$2:$A$500,0)),"UID not in Loans tab",IF($D298="","Add payment no.",IF(COUNTIFS($A$2:$A$300,$A298,$D$2:$D$300,$D298)&gt;1,"Duplicate payment no.",IF($E298="","Add payment date",IF(COUNT($F298:$H298)=0,"Add an amount","Ready")))))))</f>
        <v/>
      </c>
      <c r="O298" s="18"/>
      <c r="P298" s="19"/>
    </row>
    <row r="299" customFormat="false" ht="15" hidden="false" customHeight="false" outlineLevel="0" collapsed="false">
      <c r="A299" s="12"/>
      <c r="B299" s="13" t="str">
        <f aca="false">IF($A299="","",IFERROR(INDEX('Loans (reference)'!$B$2:$B$500,MATCH($A299,'Loans (reference)'!$A$2:$A$500,0)),"not found"))</f>
        <v/>
      </c>
      <c r="C299" s="13" t="str">
        <f aca="false">IF($A299="","",IFERROR(INDEX('Loans (reference)'!$K$2:$K$500,MATCH($A299,'Loans (reference)'!$A$2:$A$500,0)),""))</f>
        <v/>
      </c>
      <c r="D299" s="14"/>
      <c r="E299" s="15"/>
      <c r="F299" s="16"/>
      <c r="G299" s="16"/>
      <c r="H299" s="16"/>
      <c r="I299" s="16"/>
      <c r="J299" s="17" t="str">
        <f aca="false">IF(COUNT($F299:$H299)=0,"",SUM($F299:$H299))</f>
        <v/>
      </c>
      <c r="K299" s="14"/>
      <c r="L299" s="14"/>
      <c r="M299" s="14"/>
      <c r="N299" s="13" t="str">
        <f aca="false">IF(COUNTA($A299,$D299:$I299,$K299:$M299)=0,"",IF($A299="","Add Loan UID",IF(ISNA(MATCH($A299,'Loans (reference)'!$A$2:$A$500,0)),"UID not in Loans tab",IF($D299="","Add payment no.",IF(COUNTIFS($A$2:$A$300,$A299,$D$2:$D$300,$D299)&gt;1,"Duplicate payment no.",IF($E299="","Add payment date",IF(COUNT($F299:$H299)=0,"Add an amount","Ready")))))))</f>
        <v/>
      </c>
      <c r="O299" s="18"/>
      <c r="P299" s="19"/>
    </row>
    <row r="300" customFormat="false" ht="15" hidden="false" customHeight="false" outlineLevel="0" collapsed="false">
      <c r="A300" s="12"/>
      <c r="B300" s="13" t="str">
        <f aca="false">IF($A300="","",IFERROR(INDEX('Loans (reference)'!$B$2:$B$500,MATCH($A300,'Loans (reference)'!$A$2:$A$500,0)),"not found"))</f>
        <v/>
      </c>
      <c r="C300" s="13" t="str">
        <f aca="false">IF($A300="","",IFERROR(INDEX('Loans (reference)'!$K$2:$K$500,MATCH($A300,'Loans (reference)'!$A$2:$A$500,0)),""))</f>
        <v/>
      </c>
      <c r="D300" s="14"/>
      <c r="E300" s="15"/>
      <c r="F300" s="16"/>
      <c r="G300" s="16"/>
      <c r="H300" s="16"/>
      <c r="I300" s="16"/>
      <c r="J300" s="17" t="str">
        <f aca="false">IF(COUNT($F300:$H300)=0,"",SUM($F300:$H300))</f>
        <v/>
      </c>
      <c r="K300" s="14"/>
      <c r="L300" s="14"/>
      <c r="M300" s="14"/>
      <c r="N300" s="13" t="str">
        <f aca="false">IF(COUNTA($A300,$D300:$I300,$K300:$M300)=0,"",IF($A300="","Add Loan UID",IF(ISNA(MATCH($A300,'Loans (reference)'!$A$2:$A$500,0)),"UID not in Loans tab",IF($D300="","Add payment no.",IF(COUNTIFS($A$2:$A$300,$A300,$D$2:$D$300,$D300)&gt;1,"Duplicate payment no.",IF($E300="","Add payment date",IF(COUNT($F300:$H300)=0,"Add an amount","Ready")))))))</f>
        <v/>
      </c>
      <c r="O300" s="18"/>
      <c r="P300" s="19"/>
    </row>
  </sheetData>
  <conditionalFormatting sqref="N2:N300">
    <cfRule type="expression" priority="2" aboveAverage="0" equalAverage="0" bottom="0" percent="0" rank="0" text="" dxfId="0">
      <formula>$N2="Ready"</formula>
    </cfRule>
    <cfRule type="expression" priority="3" aboveAverage="0" equalAverage="0" bottom="0" percent="0" rank="0" text="" dxfId="1">
      <formula>AND($N2&lt;&gt;"",$N2&lt;&gt;"Ready")</formula>
    </cfRule>
  </conditionalFormatting>
  <conditionalFormatting sqref="O2:O300">
    <cfRule type="expression" priority="4" aboveAverage="0" equalAverage="0" bottom="0" percent="0" rank="0" text="" dxfId="1">
      <formula>LEFT($O2,5)="Error"</formula>
    </cfRule>
  </conditionalFormatting>
  <conditionalFormatting sqref="B2:B300">
    <cfRule type="expression" priority="5" aboveAverage="0" equalAverage="0" bottom="0" percent="0" rank="0" text="" dxfId="2">
      <formula>$B2="not found"</formula>
    </cfRule>
  </conditionalFormatting>
  <dataValidations count="4">
    <dataValidation allowBlank="true" error="Pick a UID from the Loans tab. If the loan is new, create it in EP Central first." errorStyle="stop" errorTitle="Unknown loan" operator="between" showDropDown="false" showErrorMessage="true" showInputMessage="false" sqref="A2:A300" type="list">
      <formula1>'Loans (reference)'!$A$2:$A$500</formula1>
      <formula2>0</formula2>
    </dataValidation>
    <dataValidation allowBlank="true" error="Enter a date, for example 31-Aug-2026." errorStyle="stop" errorTitle="Payment date" operator="greaterThan" showDropDown="false" showErrorMessage="true" showInputMessage="false" sqref="E2:E300" type="date">
      <formula1>40179</formula1>
      <formula2>0</formula2>
    </dataValidation>
    <dataValidation allowBlank="true" error="Enter a number, 0 or more, without the $ sign." errorStyle="stop" errorTitle="Amount" operator="greaterThanOrEqual" showDropDown="false" showErrorMessage="true" showInputMessage="false" sqref="F2:I300" type="decimal">
      <formula1>0</formula1>
      <formula2>0</formula2>
    </dataValidation>
    <dataValidation allowBlank="true" error="Enter a whole number: 1, 2, 3 ..." errorStyle="stop" errorTitle="Payment no." operator="greaterThan" showDropDown="false" showErrorMessage="true" showInputMessage="false" sqref="D2:D300"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6"/>
    <col collapsed="false" customWidth="true" hidden="false" outlineLevel="0" max="3" min="3" style="0" width="13"/>
    <col collapsed="false" customWidth="true" hidden="false" outlineLevel="0" max="5" min="4" style="0" width="8"/>
    <col collapsed="false" customWidth="true" hidden="false" outlineLevel="0" max="6" min="6" style="0" width="9"/>
    <col collapsed="false" customWidth="true" hidden="false" outlineLevel="0" max="7" min="7" style="0" width="10"/>
    <col collapsed="false" customWidth="true" hidden="false" outlineLevel="0" max="8" min="8" style="0" width="15"/>
    <col collapsed="false" customWidth="true" hidden="false" outlineLevel="0" max="9" min="9" style="0" width="22"/>
    <col collapsed="false" customWidth="true" hidden="false" outlineLevel="0" max="10" min="10" style="0" width="18"/>
    <col collapsed="false" customWidth="true" hidden="false" outlineLevel="0" max="11" min="11" style="0" width="20"/>
    <col collapsed="false" customWidth="true" hidden="false" outlineLevel="0" max="13" min="13" style="0" width="80"/>
  </cols>
  <sheetData>
    <row r="1" customFormat="false" ht="31.5" hidden="false" customHeight="true" outlineLevel="0" collapsed="false">
      <c r="A1" s="9" t="s">
        <v>31</v>
      </c>
      <c r="B1" s="9" t="s">
        <v>32</v>
      </c>
      <c r="C1" s="9" t="s">
        <v>54</v>
      </c>
      <c r="D1" s="9" t="s">
        <v>55</v>
      </c>
      <c r="E1" s="9" t="s">
        <v>56</v>
      </c>
      <c r="F1" s="9" t="s">
        <v>57</v>
      </c>
      <c r="G1" s="9" t="s">
        <v>58</v>
      </c>
      <c r="H1" s="9" t="s">
        <v>59</v>
      </c>
      <c r="I1" s="9" t="s">
        <v>60</v>
      </c>
      <c r="J1" s="9" t="s">
        <v>61</v>
      </c>
      <c r="K1" s="9" t="s">
        <v>62</v>
      </c>
      <c r="M1" s="20" t="s">
        <v>63</v>
      </c>
    </row>
    <row r="2" customFormat="false" ht="15" hidden="false" customHeight="false" outlineLevel="0" collapsed="false">
      <c r="A2" s="21" t="s">
        <v>47</v>
      </c>
      <c r="B2" s="18" t="s">
        <v>64</v>
      </c>
      <c r="C2" s="18" t="s">
        <v>65</v>
      </c>
      <c r="D2" s="18" t="s">
        <v>66</v>
      </c>
      <c r="E2" s="18" t="s">
        <v>67</v>
      </c>
      <c r="F2" s="18" t="n">
        <v>3</v>
      </c>
      <c r="G2" s="18" t="s">
        <v>68</v>
      </c>
      <c r="H2" s="22" t="n">
        <v>200000</v>
      </c>
      <c r="I2" s="22" t="n">
        <v>133333</v>
      </c>
      <c r="J2" s="18" t="n">
        <v>10</v>
      </c>
      <c r="K2" s="18" t="str">
        <f aca="false">D2&amp;" · "&amp;E2&amp;" · #"&amp;F2</f>
        <v>CGA · ECF2 · #3</v>
      </c>
      <c r="M2" s="23" t="s">
        <v>69</v>
      </c>
    </row>
    <row r="3" customFormat="false" ht="15" hidden="false" customHeight="false" outlineLevel="0" collapsed="false">
      <c r="A3" s="21" t="s">
        <v>51</v>
      </c>
      <c r="B3" s="18" t="s">
        <v>70</v>
      </c>
      <c r="C3" s="18" t="s">
        <v>71</v>
      </c>
      <c r="D3" s="18" t="s">
        <v>72</v>
      </c>
      <c r="E3" s="18" t="s">
        <v>67</v>
      </c>
      <c r="F3" s="18" t="n">
        <v>2</v>
      </c>
      <c r="G3" s="18" t="s">
        <v>68</v>
      </c>
      <c r="H3" s="22" t="n">
        <v>1600000</v>
      </c>
      <c r="I3" s="22" t="n">
        <v>1133333</v>
      </c>
      <c r="J3" s="18" t="n">
        <v>10</v>
      </c>
      <c r="K3" s="18" t="str">
        <f aca="false">D3&amp;" · "&amp;E3&amp;" · #"&amp;F3</f>
        <v>TRL · ECF2 · #2</v>
      </c>
      <c r="M3" s="24" t="s">
        <v>73</v>
      </c>
    </row>
    <row r="4" customFormat="false" ht="15" hidden="false" customHeight="false" outlineLevel="0" collapsed="false">
      <c r="A4" s="21" t="s">
        <v>74</v>
      </c>
      <c r="B4" s="18" t="s">
        <v>75</v>
      </c>
      <c r="C4" s="18" t="s">
        <v>76</v>
      </c>
      <c r="D4" s="18" t="s">
        <v>66</v>
      </c>
      <c r="E4" s="18" t="s">
        <v>67</v>
      </c>
      <c r="F4" s="18" t="n">
        <v>1</v>
      </c>
      <c r="G4" s="18" t="s">
        <v>68</v>
      </c>
      <c r="H4" s="22" t="n">
        <v>480000</v>
      </c>
      <c r="I4" s="22" t="n">
        <v>480000</v>
      </c>
      <c r="J4" s="18" t="n">
        <v>12</v>
      </c>
      <c r="K4" s="18" t="str">
        <f aca="false">D4&amp;" · "&amp;E4&amp;" · #"&amp;F4</f>
        <v>CGA · ECF2 · #1</v>
      </c>
    </row>
    <row r="5" customFormat="false" ht="15" hidden="false" customHeight="false" outlineLevel="0" collapsed="false">
      <c r="A5" s="21" t="s">
        <v>77</v>
      </c>
      <c r="B5" s="18" t="s">
        <v>78</v>
      </c>
      <c r="C5" s="18" t="s">
        <v>76</v>
      </c>
      <c r="D5" s="18" t="s">
        <v>66</v>
      </c>
      <c r="E5" s="18" t="s">
        <v>67</v>
      </c>
      <c r="F5" s="18" t="n">
        <v>1</v>
      </c>
      <c r="G5" s="18" t="s">
        <v>68</v>
      </c>
      <c r="H5" s="22" t="n">
        <v>800000</v>
      </c>
      <c r="I5" s="22" t="n">
        <v>86547</v>
      </c>
      <c r="J5" s="18" t="n">
        <v>12</v>
      </c>
      <c r="K5" s="18" t="str">
        <f aca="false">D5&amp;" · "&amp;E5&amp;" · #"&amp;F5</f>
        <v>CGA · ECF2 · #1</v>
      </c>
    </row>
    <row r="6" customFormat="false" ht="15" hidden="false" customHeight="false" outlineLevel="0" collapsed="false">
      <c r="A6" s="21" t="s">
        <v>79</v>
      </c>
      <c r="B6" s="18" t="s">
        <v>80</v>
      </c>
      <c r="C6" s="18" t="s">
        <v>76</v>
      </c>
      <c r="D6" s="18" t="s">
        <v>72</v>
      </c>
      <c r="E6" s="18" t="s">
        <v>67</v>
      </c>
      <c r="F6" s="18" t="n">
        <v>1</v>
      </c>
      <c r="G6" s="18" t="s">
        <v>68</v>
      </c>
      <c r="H6" s="22" t="n">
        <v>240000</v>
      </c>
      <c r="I6" s="22" t="n">
        <v>160000</v>
      </c>
      <c r="J6" s="18" t="n">
        <v>4</v>
      </c>
      <c r="K6" s="18" t="str">
        <f aca="false">D6&amp;" · "&amp;E6&amp;" · #"&amp;F6</f>
        <v>TRL · ECF2 · #1</v>
      </c>
    </row>
    <row r="7" customFormat="false" ht="15" hidden="false" customHeight="false" outlineLevel="0" collapsed="false">
      <c r="A7" s="21" t="s">
        <v>81</v>
      </c>
      <c r="B7" s="18" t="s">
        <v>82</v>
      </c>
      <c r="C7" s="18" t="s">
        <v>71</v>
      </c>
      <c r="D7" s="18" t="s">
        <v>66</v>
      </c>
      <c r="E7" s="18" t="s">
        <v>67</v>
      </c>
      <c r="F7" s="18" t="n">
        <v>2</v>
      </c>
      <c r="G7" s="18" t="s">
        <v>68</v>
      </c>
      <c r="H7" s="22" t="n">
        <v>400000</v>
      </c>
      <c r="I7" s="22" t="n">
        <v>400000</v>
      </c>
      <c r="J7" s="18" t="n">
        <v>15</v>
      </c>
      <c r="K7" s="18" t="str">
        <f aca="false">D7&amp;" · "&amp;E7&amp;" · #"&amp;F7</f>
        <v>CGA · ECF2 · #2</v>
      </c>
    </row>
    <row r="8" customFormat="false" ht="15" hidden="false" customHeight="false" outlineLevel="0" collapsed="false">
      <c r="A8" s="21" t="s">
        <v>83</v>
      </c>
      <c r="B8" s="18" t="s">
        <v>84</v>
      </c>
      <c r="C8" s="18" t="s">
        <v>76</v>
      </c>
      <c r="D8" s="18" t="s">
        <v>66</v>
      </c>
      <c r="E8" s="18" t="s">
        <v>85</v>
      </c>
      <c r="F8" s="18" t="n">
        <v>1</v>
      </c>
      <c r="G8" s="18" t="s">
        <v>68</v>
      </c>
      <c r="H8" s="22" t="n">
        <v>1648000</v>
      </c>
      <c r="I8" s="22" t="n">
        <v>478105</v>
      </c>
      <c r="J8" s="18" t="n">
        <v>31</v>
      </c>
      <c r="K8" s="18" t="str">
        <f aca="false">D8&amp;" · "&amp;E8&amp;" · #"&amp;F8</f>
        <v>CGA · ECF1 · #1</v>
      </c>
    </row>
    <row r="9" customFormat="false" ht="15" hidden="false" customHeight="false" outlineLevel="0" collapsed="false">
      <c r="A9" s="21" t="s">
        <v>52</v>
      </c>
      <c r="B9" s="18" t="s">
        <v>86</v>
      </c>
      <c r="C9" s="18" t="s">
        <v>76</v>
      </c>
      <c r="D9" s="18" t="s">
        <v>87</v>
      </c>
      <c r="E9" s="18" t="s">
        <v>85</v>
      </c>
      <c r="F9" s="18" t="n">
        <v>1</v>
      </c>
      <c r="G9" s="18" t="s">
        <v>68</v>
      </c>
      <c r="H9" s="22" t="n">
        <v>400000</v>
      </c>
      <c r="I9" s="22" t="n">
        <v>12000</v>
      </c>
      <c r="J9" s="18" t="n">
        <v>44</v>
      </c>
      <c r="K9" s="18" t="str">
        <f aca="false">D9&amp;" · "&amp;E9&amp;" · #"&amp;F9</f>
        <v>RBF · ECF1 · #1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2026-10-02T16:07:31Z</dcterms:created>
  <dc:creator>openpyxl</dc:creator>
  <dc:description/>
  <dc:language>en-US</dc:language>
  <cp:lastModifiedBy/>
  <dcterms:modified xsi:type="dcterms:W3CDTF">2026-10-02T16:07:31Z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