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comments2.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Payments" sheetId="2" state="visible" r:id="rId4"/>
    <sheet name="Loans (reference)" sheetId="3" state="visible" r:id="rId5"/>
  </sheets>
  <definedNames>
    <definedName function="false" hidden="true" localSheetId="1" name="_xlnm._FilterDatabase" vbProcedure="false">Payments!$A$1:$Q$300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EP Central</author>
  </authors>
  <commentList>
    <comment ref="A1" authorId="0">
      <text>
        <r>
          <rPr>
            <sz val="10"/>
            <rFont val="Arial"/>
            <family val="2"/>
          </rPr>
          <t xml:space="preserve">Pick the loan from the list (it comes from the Loans tab). New loans are created in EP Central first; their UID then appears here.</t>
        </r>
      </text>
    </comment>
    <comment ref="C1" authorId="0">
      <text>
        <r>
          <rPr>
            <sz val="10"/>
            <rFont val="Arial"/>
            <family val="2"/>
          </rPr>
          <t xml:space="preserve">ECF1 or ECF2. Fills itself from the loan, so a payment can never be booked to the wrong fund. Use the filter arrow on this header to see one fund at a time.</t>
        </r>
      </text>
    </comment>
    <comment ref="E1" authorId="0">
      <text>
        <r>
          <rPr>
            <sz val="10"/>
            <rFont val="Arial"/>
            <family val="2"/>
          </rPr>
          <t xml:space="preserve">The next number for this loan, as in the fund sheets today. UID + payment no. identifies the payment: change a row and keep the same number to correct it.</t>
        </r>
      </text>
    </comment>
    <comment ref="J1" authorId="0">
      <text>
        <r>
          <rPr>
            <sz val="10"/>
            <rFont val="Arial"/>
            <family val="2"/>
          </rPr>
          <t xml:space="preserve">RBF loans only: the revenue the payment was calculated on. Not part of the payment total.</t>
        </r>
      </text>
    </comment>
    <comment ref="O1" authorId="0">
      <text>
        <r>
          <rPr>
            <sz val="10"/>
            <rFont val="Arial"/>
            <family val="2"/>
          </rPr>
          <t xml:space="preserve">Fills itself. "Ready" means the row will be imported at the next sync.</t>
        </r>
      </text>
    </comment>
    <comment ref="P1" authorId="0">
      <text>
        <r>
          <rPr>
            <sz val="10"/>
            <rFont val="Arial"/>
            <family val="2"/>
          </rPr>
          <t xml:space="preserve">Written by EP Central after each sync. Leave blank.</t>
        </r>
      </text>
    </comment>
  </commentList>
</comments>
</file>

<file path=xl/sharedStrings.xml><?xml version="1.0" encoding="utf-8"?>
<sst xmlns="http://schemas.openxmlformats.org/spreadsheetml/2006/main" count="118" uniqueCount="88">
  <si>
    <t xml:space="preserve">EP Loan Payments: interim worksheet</t>
  </si>
  <si>
    <t xml:space="preserve">The Investment team records payments here. EP Central reads this sheet every day and updates Loans Performance. Loans themselves are created and edited in EP Central, not here.</t>
  </si>
  <si>
    <t xml:space="preserve">Which cells to edit</t>
  </si>
  <si>
    <t xml:space="preserve">Yellow, blue text</t>
  </si>
  <si>
    <t xml:space="preserve">You fill these in: Loan UID, payment no., date, amounts, tranche, invoice link, comments.</t>
  </si>
  <si>
    <t xml:space="preserve">Grey</t>
  </si>
  <si>
    <t xml:space="preserve">Fills itself from what you typed: company, fund (ECF1 / ECF2), loan, payment total, check. Do not type here.</t>
  </si>
  <si>
    <t xml:space="preserve">Light blue</t>
  </si>
  <si>
    <t xml:space="preserve">Written by EP Central: sync status and time, and the whole Loans (reference) tab. Do not type here.</t>
  </si>
  <si>
    <t xml:space="preserve">How to record a payment</t>
  </si>
  <si>
    <t xml:space="preserve">1. New loan?</t>
  </si>
  <si>
    <t xml:space="preserve">Create it in EP Central first (Reports &gt; Loans Performance &gt; Create &gt; New loan, or New loan on the company page). EP Central generates the Loan UID, or you can paste one you already issued. After the next sync it appears in the Loans (reference) tab.</t>
  </si>
  <si>
    <t xml:space="preserve">2. Add one row per payment</t>
  </si>
  <si>
    <t xml:space="preserve">On the Payments tab, pick the Loan UID. Company, fund (ECF1 or ECF2) and loan fill in so you can check you picked the right one. To see one fund only, use the filter arrow on the Fund header.</t>
  </si>
  <si>
    <t xml:space="preserve">3. Payment no. and date</t>
  </si>
  <si>
    <t xml:space="preserve">Use the next payment number for that loan (the Loans tab shows the last number EP Central has). Enter the date the payment was received.</t>
  </si>
  <si>
    <t xml:space="preserve">4. Amounts</t>
  </si>
  <si>
    <t xml:space="preserve">Interest, principal and any other fee, as numbers without the $ sign. Payment total adds them up. Revenue is for RBF loans only.</t>
  </si>
  <si>
    <t xml:space="preserve">5. Check column</t>
  </si>
  <si>
    <t xml:space="preserve">"Ready" means the row is complete. Anything else says what is missing.</t>
  </si>
  <si>
    <t xml:space="preserve">6. Sync</t>
  </si>
  <si>
    <t xml:space="preserve">EP Central imports Ready rows every day at 08:00 UTC, or straight away with Data Sync in Reports &gt; Loans Performance. Sync status then shows Imported, Updated, or Error with the reason.</t>
  </si>
  <si>
    <t xml:space="preserve">Rules</t>
  </si>
  <si>
    <t xml:space="preserve">Correcting a payment</t>
  </si>
  <si>
    <t xml:space="preserve">Change the row and keep the same Loan UID and payment no. The next sync updates the payment in EP Central.</t>
  </si>
  <si>
    <t xml:space="preserve">Removing a payment</t>
  </si>
  <si>
    <t xml:space="preserve">Deleting a row here does not delete the payment. Remove it in EP Central (it is logged there).</t>
  </si>
  <si>
    <t xml:space="preserve">What EP Central calculates</t>
  </si>
  <si>
    <t xml:space="preserve">Principal repaid, interest repaid, balance outstanding, the monthly principal and interest grids and the portfolio totals all come from these rows. Nothing else needs to be typed.</t>
  </si>
  <si>
    <t xml:space="preserve">Example rows</t>
  </si>
  <si>
    <t xml:space="preserve">Rows 2 to 4 on the Payments tab are examples with sample data. Delete them before real use. The Loans (reference) rows are sample data too.</t>
  </si>
  <si>
    <t xml:space="preserve">Loan UID</t>
  </si>
  <si>
    <t xml:space="preserve">Company</t>
  </si>
  <si>
    <t xml:space="preserve">Fund</t>
  </si>
  <si>
    <t xml:space="preserve">Loan</t>
  </si>
  <si>
    <t xml:space="preserve">Payment no.</t>
  </si>
  <si>
    <t xml:space="preserve">Payment date</t>
  </si>
  <si>
    <t xml:space="preserve">Interest ($)</t>
  </si>
  <si>
    <t xml:space="preserve">Principal ($)</t>
  </si>
  <si>
    <t xml:space="preserve">Other fee ($)</t>
  </si>
  <si>
    <t xml:space="preserve">Revenue ($)
RBF only</t>
  </si>
  <si>
    <t xml:space="preserve">Payment total ($)</t>
  </si>
  <si>
    <t xml:space="preserve">Tranche</t>
  </si>
  <si>
    <t xml:space="preserve">Invoice link</t>
  </si>
  <si>
    <t xml:space="preserve">Comments</t>
  </si>
  <si>
    <t xml:space="preserve">Check</t>
  </si>
  <si>
    <t xml:space="preserve">Sync status</t>
  </si>
  <si>
    <t xml:space="preserve">Synced at</t>
  </si>
  <si>
    <t xml:space="preserve">b92edd73-c32e-55f7-8064-a27e9236b043</t>
  </si>
  <si>
    <t xml:space="preserve">https://docs.google.com/spreadsheets/d/EXAMPLE</t>
  </si>
  <si>
    <t xml:space="preserve">EXAMPLE ROW - delete before use</t>
  </si>
  <si>
    <t xml:space="preserve">Imported</t>
  </si>
  <si>
    <t xml:space="preserve">da903dec-65df-5064-9d90-d31a087e3e44</t>
  </si>
  <si>
    <t xml:space="preserve">caa72316-ceb7-5244-bf17-907cfa7d4856</t>
  </si>
  <si>
    <t xml:space="preserve">EXAMPLE ROW - delete before use (RBF: revenue filled in)</t>
  </si>
  <si>
    <t xml:space="preserve">Product</t>
  </si>
  <si>
    <t xml:space="preserve">Type</t>
  </si>
  <si>
    <t xml:space="preserve">Loan no.</t>
  </si>
  <si>
    <t xml:space="preserve">Status</t>
  </si>
  <si>
    <t xml:space="preserve">Loan size ($)</t>
  </si>
  <si>
    <t xml:space="preserve">Principal outstanding ($)</t>
  </si>
  <si>
    <t xml:space="preserve">Last payment no. in EP Central</t>
  </si>
  <si>
    <t xml:space="preserve">Loan (label)</t>
  </si>
  <si>
    <t xml:space="preserve">Do not edit this tab.</t>
  </si>
  <si>
    <t xml:space="preserve">fourstars</t>
  </si>
  <si>
    <t xml:space="preserve">Funding #3</t>
  </si>
  <si>
    <t xml:space="preserve">CGA</t>
  </si>
  <si>
    <t xml:space="preserve">ECF2</t>
  </si>
  <si>
    <t xml:space="preserve">Active</t>
  </si>
  <si>
    <t xml:space="preserve">EP Central rewrites it at every sync, so a loan created in EP Central appears here with its UID.</t>
  </si>
  <si>
    <t xml:space="preserve">Summit Heat Pumps</t>
  </si>
  <si>
    <t xml:space="preserve">Funding #2</t>
  </si>
  <si>
    <t xml:space="preserve">TRL</t>
  </si>
  <si>
    <t xml:space="preserve">Rows shown are sample data.</t>
  </si>
  <si>
    <t xml:space="preserve">af336409-cad4-51c3-873f-99ceb6887000</t>
  </si>
  <si>
    <t xml:space="preserve">Soilworks Company</t>
  </si>
  <si>
    <t xml:space="preserve">Funding #1</t>
  </si>
  <si>
    <t xml:space="preserve">7e2a073d-c5df-5d35-b461-575f40191d57</t>
  </si>
  <si>
    <t xml:space="preserve">Tidal Marine</t>
  </si>
  <si>
    <t xml:space="preserve">ee1e88a2-0693-504c-949b-873428514324</t>
  </si>
  <si>
    <t xml:space="preserve">Prairie Insulation, Inc</t>
  </si>
  <si>
    <t xml:space="preserve">faba7e04-c78f-50c8-a5f2-f10fd4e5400d</t>
  </si>
  <si>
    <t xml:space="preserve">Sunpath Microgrids</t>
  </si>
  <si>
    <t xml:space="preserve">b662f24b-b65d-533e-bfa9-6df5d61a8372</t>
  </si>
  <si>
    <t xml:space="preserve">Northwind Solar</t>
  </si>
  <si>
    <t xml:space="preserve">ECF1</t>
  </si>
  <si>
    <t xml:space="preserve">Kinetiq</t>
  </si>
  <si>
    <t xml:space="preserve">RBF</t>
  </si>
</sst>
</file>

<file path=xl/styles.xml><?xml version="1.0" encoding="utf-8"?>
<styleSheet xmlns="http://schemas.openxmlformats.org/spreadsheetml/2006/main">
  <numFmts count="5">
    <numFmt numFmtId="164" formatCode="General"/>
    <numFmt numFmtId="165" formatCode="dd\-mmm\-yyyy"/>
    <numFmt numFmtId="166" formatCode="\$#,##0.00"/>
    <numFmt numFmtId="167" formatCode="dd\-mmm\-yyyy\ hh:mm"/>
    <numFmt numFmtId="168" formatCode="\$#,##0"/>
  </numFmts>
  <fonts count="17">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sz val="10"/>
      <color rgb="FF4B5772"/>
      <name val="Arial"/>
      <family val="0"/>
      <charset val="1"/>
    </font>
    <font>
      <b val="true"/>
      <sz val="12"/>
      <color rgb="FF1F2A44"/>
      <name val="Arial"/>
      <family val="0"/>
      <charset val="1"/>
    </font>
    <font>
      <b val="true"/>
      <sz val="10"/>
      <color rgb="FF1F2A44"/>
      <name val="Arial"/>
      <family val="0"/>
      <charset val="1"/>
    </font>
    <font>
      <b val="true"/>
      <sz val="10"/>
      <color rgb="FFFFFFFF"/>
      <name val="Arial"/>
      <family val="0"/>
      <charset val="1"/>
    </font>
    <font>
      <sz val="9"/>
      <color rgb="FF0000FF"/>
      <name val="Courier New"/>
      <family val="0"/>
      <charset val="1"/>
    </font>
    <font>
      <sz val="10"/>
      <name val="Arial"/>
      <family val="0"/>
      <charset val="1"/>
    </font>
    <font>
      <b val="true"/>
      <sz val="10"/>
      <name val="Arial"/>
      <family val="0"/>
      <charset val="1"/>
    </font>
    <font>
      <sz val="10"/>
      <color rgb="FF0000FF"/>
      <name val="Arial"/>
      <family val="0"/>
      <charset val="1"/>
    </font>
    <font>
      <sz val="10"/>
      <name val="Arial"/>
      <family val="2"/>
    </font>
    <font>
      <b val="true"/>
      <sz val="10"/>
      <color rgb="FFB42318"/>
      <name val="Arial"/>
      <family val="0"/>
      <charset val="1"/>
    </font>
    <font>
      <sz val="9"/>
      <name val="Courier New"/>
      <family val="0"/>
      <charset val="1"/>
    </font>
    <font>
      <i val="true"/>
      <sz val="10"/>
      <color rgb="FF7D879C"/>
      <name val="Arial"/>
      <family val="0"/>
      <charset val="1"/>
    </font>
  </fonts>
  <fills count="8">
    <fill>
      <patternFill patternType="none"/>
    </fill>
    <fill>
      <patternFill patternType="gray125"/>
    </fill>
    <fill>
      <patternFill patternType="solid">
        <fgColor rgb="FFFFF9D6"/>
        <bgColor rgb="FFFFFFFF"/>
      </patternFill>
    </fill>
    <fill>
      <patternFill patternType="solid">
        <fgColor rgb="FFEEF1F6"/>
        <bgColor rgb="FFE4F0FB"/>
      </patternFill>
    </fill>
    <fill>
      <patternFill patternType="solid">
        <fgColor rgb="FFE4F0FB"/>
        <bgColor rgb="FFEEF1F6"/>
      </patternFill>
    </fill>
    <fill>
      <patternFill patternType="solid">
        <fgColor rgb="FF1F2A44"/>
        <bgColor rgb="FF003366"/>
      </patternFill>
    </fill>
    <fill>
      <patternFill patternType="solid">
        <fgColor rgb="FF6B7690"/>
        <bgColor rgb="FF7D879C"/>
      </patternFill>
    </fill>
    <fill>
      <patternFill patternType="solid">
        <fgColor rgb="FF2E5FD6"/>
        <bgColor rgb="FF0066CC"/>
      </patternFill>
    </fill>
  </fills>
  <borders count="2">
    <border diagonalUp="false" diagonalDown="false">
      <left/>
      <right/>
      <top/>
      <bottom/>
      <diagonal/>
    </border>
    <border diagonalUp="false" diagonalDown="false">
      <left style="thin">
        <color rgb="FFDFE5EE"/>
      </left>
      <right style="thin">
        <color rgb="FFDFE5EE"/>
      </right>
      <top style="thin">
        <color rgb="FFDFE5EE"/>
      </top>
      <bottom style="thin">
        <color rgb="FFDFE5E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8" fillId="6" borderId="1" xfId="0" applyFont="true" applyBorder="true" applyAlignment="true" applyProtection="false">
      <alignment horizontal="general" vertical="center" textRotation="0" wrapText="true" indent="0" shrinkToFit="false"/>
      <protection locked="true" hidden="false"/>
    </xf>
    <xf numFmtId="164" fontId="8" fillId="7" borderId="1" xfId="0" applyFont="true" applyBorder="true" applyAlignment="true" applyProtection="false">
      <alignment horizontal="general" vertical="center" textRotation="0" wrapText="tru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center"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false" applyProtection="false">
      <alignment horizontal="general" vertical="bottom" textRotation="0" wrapText="false" indent="0" shrinkToFit="false"/>
      <protection locked="true" hidden="false"/>
    </xf>
    <xf numFmtId="166" fontId="12" fillId="2"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8" fontId="10"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2A44"/>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6B7690"/>
          <bgColor rgb="FF000000"/>
        </patternFill>
      </fill>
    </dxf>
    <dxf>
      <fill>
        <patternFill patternType="solid">
          <fgColor rgb="FFEEF1F6"/>
          <bgColor rgb="FF000000"/>
        </patternFill>
      </fill>
    </dxf>
    <dxf>
      <fill>
        <patternFill patternType="solid">
          <bgColor rgb="FF000000"/>
        </patternFill>
      </fill>
    </dxf>
    <dxf>
      <fill>
        <patternFill patternType="solid">
          <fgColor rgb="FFD9F5EA"/>
          <bgColor rgb="FF000000"/>
        </patternFill>
      </fill>
    </dxf>
    <dxf>
      <fill>
        <patternFill patternType="solid">
          <fgColor rgb="FFE9E2FB"/>
          <bgColor rgb="FF000000"/>
        </patternFill>
      </fill>
    </dxf>
    <dxf>
      <fill>
        <patternFill patternType="solid">
          <fgColor rgb="FF0A8C6E"/>
          <bgColor rgb="FF000000"/>
        </patternFill>
      </fill>
    </dxf>
    <dxf>
      <fill>
        <patternFill patternType="solid">
          <fgColor rgb="FF5B3CC4"/>
          <bgColor rgb="FF000000"/>
        </patternFill>
      </fill>
    </dxf>
    <dxf>
      <fill>
        <patternFill patternType="solid">
          <fgColor rgb="FF2E5FD6"/>
          <bgColor rgb="FF000000"/>
        </patternFill>
      </fill>
    </dxf>
    <dxf>
      <fill>
        <patternFill patternType="solid">
          <fgColor rgb="FFE4F0FB"/>
          <bgColor rgb="FF000000"/>
        </patternFill>
      </fill>
    </dxf>
    <dxf>
      <font>
        <name val="Arial"/>
        <charset val="1"/>
        <family val="0"/>
        <b val="1"/>
        <color rgb="FF0A8C6E"/>
        <sz val="10"/>
      </font>
      <fill>
        <patternFill>
          <bgColor rgb="FFD9F5EA"/>
        </patternFill>
      </fill>
    </dxf>
    <dxf>
      <font>
        <name val="Arial"/>
        <charset val="1"/>
        <family val="0"/>
        <b val="1"/>
        <color rgb="FFB42318"/>
        <sz val="10"/>
      </font>
      <fill>
        <patternFill>
          <bgColor rgb="FFFDE2E1"/>
        </patternFill>
      </fill>
    </dxf>
    <dxf>
      <font>
        <name val="Arial"/>
        <charset val="1"/>
        <family val="0"/>
        <b val="1"/>
        <color rgb="FFB42318"/>
        <sz val="10"/>
      </font>
    </dxf>
    <dxf>
      <font>
        <name val="Arial"/>
        <charset val="1"/>
        <family val="0"/>
        <b val="1"/>
        <color rgb="FF5B3CC4"/>
        <sz val="10"/>
      </font>
      <fill>
        <patternFill>
          <bgColor rgb="FFE9E2F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A8C6E"/>
      <rgbColor rgb="FFE9E2FB"/>
      <rgbColor rgb="FF7D879C"/>
      <rgbColor rgb="FF9999FF"/>
      <rgbColor rgb="FF993366"/>
      <rgbColor rgb="FFFFF9D6"/>
      <rgbColor rgb="FFD9F5EA"/>
      <rgbColor rgb="FF660066"/>
      <rgbColor rgb="FFFF8080"/>
      <rgbColor rgb="FF0066CC"/>
      <rgbColor rgb="FFDFE5EE"/>
      <rgbColor rgb="FF000080"/>
      <rgbColor rgb="FFFF00FF"/>
      <rgbColor rgb="FFFFFF00"/>
      <rgbColor rgb="FF00FFFF"/>
      <rgbColor rgb="FF800080"/>
      <rgbColor rgb="FF800000"/>
      <rgbColor rgb="FF008080"/>
      <rgbColor rgb="FF0000FF"/>
      <rgbColor rgb="FF00CCFF"/>
      <rgbColor rgb="FFE4F0FB"/>
      <rgbColor rgb="FFEEF1F6"/>
      <rgbColor rgb="FFFFFF99"/>
      <rgbColor rgb="FF99CCFF"/>
      <rgbColor rgb="FFFF99CC"/>
      <rgbColor rgb="FFCC99FF"/>
      <rgbColor rgb="FFFDE2E1"/>
      <rgbColor rgb="FF2E5FD6"/>
      <rgbColor rgb="FF33CCCC"/>
      <rgbColor rgb="FF99CC00"/>
      <rgbColor rgb="FFFFCC00"/>
      <rgbColor rgb="FFFF9900"/>
      <rgbColor rgb="FFFF6600"/>
      <rgbColor rgb="FF6B7690"/>
      <rgbColor rgb="FF969696"/>
      <rgbColor rgb="FF003366"/>
      <rgbColor rgb="FF339966"/>
      <rgbColor rgb="FF003300"/>
      <rgbColor rgb="FF4B5772"/>
      <rgbColor rgb="FFB42318"/>
      <rgbColor rgb="FF993366"/>
      <rgbColor rgb="FF5B3CC4"/>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96"/>
  </cols>
  <sheetData>
    <row r="2" customFormat="false" ht="19.7" hidden="false" customHeight="true" outlineLevel="0" collapsed="false">
      <c r="B2" s="1" t="s">
        <v>0</v>
      </c>
      <c r="C2" s="1"/>
    </row>
    <row r="3" customFormat="false" ht="31.5" hidden="false" customHeight="true" outlineLevel="0" collapsed="false">
      <c r="B3" s="2" t="s">
        <v>1</v>
      </c>
      <c r="C3" s="2"/>
    </row>
    <row r="5" customFormat="false" ht="15" hidden="false" customHeight="false" outlineLevel="0" collapsed="false">
      <c r="B5" s="3" t="s">
        <v>2</v>
      </c>
    </row>
    <row r="6" customFormat="false" ht="15" hidden="false" customHeight="false" outlineLevel="0" collapsed="false">
      <c r="B6" s="4" t="s">
        <v>3</v>
      </c>
      <c r="C6" s="5" t="s">
        <v>4</v>
      </c>
    </row>
    <row r="7" customFormat="false" ht="15" hidden="false" customHeight="false" outlineLevel="0" collapsed="false">
      <c r="B7" s="6" t="s">
        <v>5</v>
      </c>
      <c r="C7" s="5" t="s">
        <v>6</v>
      </c>
    </row>
    <row r="8" customFormat="false" ht="15" hidden="false" customHeight="false" outlineLevel="0" collapsed="false">
      <c r="B8" s="7" t="s">
        <v>7</v>
      </c>
      <c r="C8" s="5" t="s">
        <v>8</v>
      </c>
    </row>
    <row r="10" customFormat="false" ht="15" hidden="false" customHeight="false" outlineLevel="0" collapsed="false">
      <c r="B10" s="3" t="s">
        <v>9</v>
      </c>
    </row>
    <row r="11" customFormat="false" ht="43.5" hidden="false" customHeight="true" outlineLevel="0" collapsed="false">
      <c r="B11" s="8" t="s">
        <v>10</v>
      </c>
      <c r="C11" s="5" t="s">
        <v>11</v>
      </c>
    </row>
    <row r="12" customFormat="false" ht="43.5" hidden="false" customHeight="true" outlineLevel="0" collapsed="false">
      <c r="B12" s="8" t="s">
        <v>12</v>
      </c>
      <c r="C12" s="5" t="s">
        <v>13</v>
      </c>
    </row>
    <row r="13" customFormat="false" ht="30" hidden="false" customHeight="true" outlineLevel="0" collapsed="false">
      <c r="B13" s="8" t="s">
        <v>14</v>
      </c>
      <c r="C13" s="5" t="s">
        <v>15</v>
      </c>
    </row>
    <row r="14" customFormat="false" ht="30" hidden="false" customHeight="true" outlineLevel="0" collapsed="false">
      <c r="B14" s="8" t="s">
        <v>16</v>
      </c>
      <c r="C14" s="5" t="s">
        <v>17</v>
      </c>
    </row>
    <row r="15" customFormat="false" ht="30" hidden="false" customHeight="true" outlineLevel="0" collapsed="false">
      <c r="B15" s="8" t="s">
        <v>18</v>
      </c>
      <c r="C15" s="5" t="s">
        <v>19</v>
      </c>
    </row>
    <row r="16" customFormat="false" ht="43.5" hidden="false" customHeight="true" outlineLevel="0" collapsed="false">
      <c r="B16" s="8" t="s">
        <v>20</v>
      </c>
      <c r="C16" s="5" t="s">
        <v>21</v>
      </c>
    </row>
    <row r="18" customFormat="false" ht="15" hidden="false" customHeight="false" outlineLevel="0" collapsed="false">
      <c r="B18" s="3" t="s">
        <v>22</v>
      </c>
    </row>
    <row r="19" customFormat="false" ht="30" hidden="false" customHeight="true" outlineLevel="0" collapsed="false">
      <c r="B19" s="8" t="s">
        <v>23</v>
      </c>
      <c r="C19" s="5" t="s">
        <v>24</v>
      </c>
    </row>
    <row r="20" customFormat="false" ht="30" hidden="false" customHeight="true" outlineLevel="0" collapsed="false">
      <c r="B20" s="8" t="s">
        <v>25</v>
      </c>
      <c r="C20" s="5" t="s">
        <v>26</v>
      </c>
    </row>
    <row r="21" customFormat="false" ht="30" hidden="false" customHeight="true" outlineLevel="0" collapsed="false">
      <c r="B21" s="8" t="s">
        <v>27</v>
      </c>
      <c r="C21" s="5" t="s">
        <v>28</v>
      </c>
    </row>
    <row r="22" customFormat="false" ht="30" hidden="false" customHeight="true" outlineLevel="0" collapsed="false">
      <c r="B22" s="8" t="s">
        <v>29</v>
      </c>
      <c r="C22" s="5" t="s">
        <v>30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2" min="2" style="0" width="24"/>
    <col collapsed="false" customWidth="true" hidden="false" outlineLevel="0" max="3" min="3" style="0" width="9"/>
    <col collapsed="false" customWidth="true" hidden="false" outlineLevel="0" max="5" min="4" style="0" width="11"/>
    <col collapsed="false" customWidth="true" hidden="false" outlineLevel="0" max="8" min="6" style="0" width="14"/>
    <col collapsed="false" customWidth="true" hidden="false" outlineLevel="0" max="9" min="9" style="0" width="13"/>
    <col collapsed="false" customWidth="true" hidden="false" outlineLevel="0" max="10" min="10" style="0" width="14"/>
    <col collapsed="false" customWidth="true" hidden="false" outlineLevel="0" max="11" min="11" style="0" width="16"/>
    <col collapsed="false" customWidth="true" hidden="false" outlineLevel="0" max="12" min="12" style="0" width="9"/>
    <col collapsed="false" customWidth="true" hidden="false" outlineLevel="0" max="13" min="13" style="0" width="30"/>
    <col collapsed="false" customWidth="true" hidden="false" outlineLevel="0" max="14" min="14" style="0" width="34"/>
    <col collapsed="false" customWidth="true" hidden="false" outlineLevel="0" max="15" min="15" style="0" width="24"/>
    <col collapsed="false" customWidth="true" hidden="false" outlineLevel="0" max="16" min="16" style="0" width="26"/>
    <col collapsed="false" customWidth="true" hidden="false" outlineLevel="0" max="17" min="17" style="0" width="18"/>
  </cols>
  <sheetData>
    <row r="1" customFormat="false" ht="33.75" hidden="false" customHeight="true" outlineLevel="0" collapsed="false">
      <c r="A1" s="9" t="s">
        <v>31</v>
      </c>
      <c r="B1" s="10" t="s">
        <v>32</v>
      </c>
      <c r="C1" s="10" t="s">
        <v>33</v>
      </c>
      <c r="D1" s="10" t="s">
        <v>34</v>
      </c>
      <c r="E1" s="9" t="s">
        <v>35</v>
      </c>
      <c r="F1" s="9" t="s">
        <v>36</v>
      </c>
      <c r="G1" s="9" t="s">
        <v>37</v>
      </c>
      <c r="H1" s="9" t="s">
        <v>38</v>
      </c>
      <c r="I1" s="9" t="s">
        <v>39</v>
      </c>
      <c r="J1" s="9" t="s">
        <v>40</v>
      </c>
      <c r="K1" s="10" t="s">
        <v>41</v>
      </c>
      <c r="L1" s="9" t="s">
        <v>42</v>
      </c>
      <c r="M1" s="9" t="s">
        <v>43</v>
      </c>
      <c r="N1" s="9" t="s">
        <v>44</v>
      </c>
      <c r="O1" s="10" t="s">
        <v>45</v>
      </c>
      <c r="P1" s="11" t="s">
        <v>46</v>
      </c>
      <c r="Q1" s="11" t="s">
        <v>47</v>
      </c>
    </row>
    <row r="2" customFormat="false" ht="15" hidden="false" customHeight="false" outlineLevel="0" collapsed="false">
      <c r="A2" s="12" t="s">
        <v>48</v>
      </c>
      <c r="B2" s="13" t="str">
        <f aca="false">IF($A2="","",IFERROR(INDEX('Loans (reference)'!$B$2:$B$500,MATCH($A2,'Loans (reference)'!$A$2:$A$500,0)),"not found"))</f>
        <v>fourstars</v>
      </c>
      <c r="C2" s="14" t="str">
        <f aca="false">IF($A2="","",IFERROR(INDEX('Loans (reference)'!$E$2:$E$500,MATCH($A2,'Loans (reference)'!$A$2:$A$500,0)),""))</f>
        <v>ECF2</v>
      </c>
      <c r="D2" s="13" t="str">
        <f aca="false">IF($A2="","",IFERROR(INDEX('Loans (reference)'!$K$2:$K$500,MATCH($A2,'Loans (reference)'!$A$2:$A$500,0)),""))</f>
        <v>CGA · #3</v>
      </c>
      <c r="E2" s="15" t="n">
        <v>11</v>
      </c>
      <c r="F2" s="16" t="n">
        <v>46265</v>
      </c>
      <c r="G2" s="17" t="n">
        <v>14268.8</v>
      </c>
      <c r="H2" s="17" t="n">
        <v>66666.4</v>
      </c>
      <c r="I2" s="17"/>
      <c r="J2" s="17"/>
      <c r="K2" s="18" t="n">
        <f aca="false">IF(COUNT($G2:$I2)=0,"",SUM($G2:$I2))</f>
        <v>80935.2</v>
      </c>
      <c r="L2" s="15" t="n">
        <v>1</v>
      </c>
      <c r="M2" s="15" t="s">
        <v>49</v>
      </c>
      <c r="N2" s="15" t="s">
        <v>50</v>
      </c>
      <c r="O2" s="13" t="str">
        <f aca="false">IF(COUNTA($A2,$E2:$J2,$L2:$N2)=0,"",IF($A2="","Add Loan UID",IF(ISNA(MATCH($A2,'Loans (reference)'!$A$2:$A$500,0)),"UID not in Loans tab",IF($E2="","Add payment no.",IF(COUNTIFS($A$2:$A$300,$A2,$E$2:$E$300,$E2)&gt;1,"Duplicate payment no.",IF($F2="","Add payment date",IF(COUNT($G2:$I2)=0,"Add an amount","Ready")))))))</f>
        <v>Ready</v>
      </c>
      <c r="P2" s="19" t="s">
        <v>51</v>
      </c>
      <c r="Q2" s="20" t="n">
        <v>46266.3333333333</v>
      </c>
    </row>
    <row r="3" customFormat="false" ht="15" hidden="false" customHeight="false" outlineLevel="0" collapsed="false">
      <c r="A3" s="12" t="s">
        <v>52</v>
      </c>
      <c r="B3" s="13" t="str">
        <f aca="false">IF($A3="","",IFERROR(INDEX('Loans (reference)'!$B$2:$B$500,MATCH($A3,'Loans (reference)'!$A$2:$A$500,0)),"not found"))</f>
        <v>Summit Heat Pumps</v>
      </c>
      <c r="C3" s="14" t="str">
        <f aca="false">IF($A3="","",IFERROR(INDEX('Loans (reference)'!$E$2:$E$500,MATCH($A3,'Loans (reference)'!$A$2:$A$500,0)),""))</f>
        <v>ECF2</v>
      </c>
      <c r="D3" s="13" t="str">
        <f aca="false">IF($A3="","",IFERROR(INDEX('Loans (reference)'!$K$2:$K$500,MATCH($A3,'Loans (reference)'!$A$2:$A$500,0)),""))</f>
        <v>TRL · #2</v>
      </c>
      <c r="E3" s="15" t="n">
        <v>11</v>
      </c>
      <c r="F3" s="16" t="n">
        <v>46265</v>
      </c>
      <c r="G3" s="17" t="n">
        <v>14268.8</v>
      </c>
      <c r="H3" s="17" t="n">
        <v>66666.4</v>
      </c>
      <c r="I3" s="17"/>
      <c r="J3" s="17"/>
      <c r="K3" s="18" t="n">
        <f aca="false">IF(COUNT($G3:$I3)=0,"",SUM($G3:$I3))</f>
        <v>80935.2</v>
      </c>
      <c r="L3" s="15" t="n">
        <v>1</v>
      </c>
      <c r="M3" s="15"/>
      <c r="N3" s="15" t="s">
        <v>50</v>
      </c>
      <c r="O3" s="13" t="str">
        <f aca="false">IF(COUNTA($A3,$E3:$J3,$L3:$N3)=0,"",IF($A3="","Add Loan UID",IF(ISNA(MATCH($A3,'Loans (reference)'!$A$2:$A$500,0)),"UID not in Loans tab",IF($E3="","Add payment no.",IF(COUNTIFS($A$2:$A$300,$A3,$E$2:$E$300,$E3)&gt;1,"Duplicate payment no.",IF($F3="","Add payment date",IF(COUNT($G3:$I3)=0,"Add an amount","Ready")))))))</f>
        <v>Ready</v>
      </c>
      <c r="P3" s="19"/>
      <c r="Q3" s="20"/>
    </row>
    <row r="4" customFormat="false" ht="15" hidden="false" customHeight="false" outlineLevel="0" collapsed="false">
      <c r="A4" s="12" t="s">
        <v>53</v>
      </c>
      <c r="B4" s="13" t="str">
        <f aca="false">IF($A4="","",IFERROR(INDEX('Loans (reference)'!$B$2:$B$500,MATCH($A4,'Loans (reference)'!$A$2:$A$500,0)),"not found"))</f>
        <v>Kinetiq</v>
      </c>
      <c r="C4" s="14" t="str">
        <f aca="false">IF($A4="","",IFERROR(INDEX('Loans (reference)'!$E$2:$E$500,MATCH($A4,'Loans (reference)'!$A$2:$A$500,0)),""))</f>
        <v>ECF1</v>
      </c>
      <c r="D4" s="13" t="str">
        <f aca="false">IF($A4="","",IFERROR(INDEX('Loans (reference)'!$K$2:$K$500,MATCH($A4,'Loans (reference)'!$A$2:$A$500,0)),""))</f>
        <v>RBF · #1</v>
      </c>
      <c r="E4" s="15" t="n">
        <v>45</v>
      </c>
      <c r="F4" s="16" t="n">
        <v>46270</v>
      </c>
      <c r="G4" s="17" t="n">
        <v>1187.56</v>
      </c>
      <c r="H4" s="17" t="n">
        <v>10556.14</v>
      </c>
      <c r="I4" s="17"/>
      <c r="J4" s="17" t="n">
        <v>263903.3</v>
      </c>
      <c r="K4" s="18" t="n">
        <f aca="false">IF(COUNT($G4:$I4)=0,"",SUM($G4:$I4))</f>
        <v>11743.7</v>
      </c>
      <c r="L4" s="15"/>
      <c r="M4" s="15"/>
      <c r="N4" s="15" t="s">
        <v>54</v>
      </c>
      <c r="O4" s="13" t="str">
        <f aca="false">IF(COUNTA($A4,$E4:$J4,$L4:$N4)=0,"",IF($A4="","Add Loan UID",IF(ISNA(MATCH($A4,'Loans (reference)'!$A$2:$A$500,0)),"UID not in Loans tab",IF($E4="","Add payment no.",IF(COUNTIFS($A$2:$A$300,$A4,$E$2:$E$300,$E4)&gt;1,"Duplicate payment no.",IF($F4="","Add payment date",IF(COUNT($G4:$I4)=0,"Add an amount","Ready")))))))</f>
        <v>Ready</v>
      </c>
      <c r="P4" s="19"/>
      <c r="Q4" s="20"/>
    </row>
    <row r="5" customFormat="false" ht="15" hidden="false" customHeight="false" outlineLevel="0" collapsed="false">
      <c r="A5" s="12"/>
      <c r="B5" s="13" t="str">
        <f aca="false">IF($A5="","",IFERROR(INDEX('Loans (reference)'!$B$2:$B$500,MATCH($A5,'Loans (reference)'!$A$2:$A$500,0)),"not found"))</f>
        <v/>
      </c>
      <c r="C5" s="14" t="str">
        <f aca="false">IF($A5="","",IFERROR(INDEX('Loans (reference)'!$E$2:$E$500,MATCH($A5,'Loans (reference)'!$A$2:$A$500,0)),""))</f>
        <v/>
      </c>
      <c r="D5" s="13" t="str">
        <f aca="false">IF($A5="","",IFERROR(INDEX('Loans (reference)'!$K$2:$K$500,MATCH($A5,'Loans (reference)'!$A$2:$A$500,0)),""))</f>
        <v/>
      </c>
      <c r="E5" s="15"/>
      <c r="F5" s="16"/>
      <c r="G5" s="17"/>
      <c r="H5" s="17"/>
      <c r="I5" s="17"/>
      <c r="J5" s="17"/>
      <c r="K5" s="18" t="str">
        <f aca="false">IF(COUNT($G5:$I5)=0,"",SUM($G5:$I5))</f>
        <v/>
      </c>
      <c r="L5" s="15"/>
      <c r="M5" s="15"/>
      <c r="N5" s="15"/>
      <c r="O5" s="13" t="str">
        <f aca="false">IF(COUNTA($A5,$E5:$J5,$L5:$N5)=0,"",IF($A5="","Add Loan UID",IF(ISNA(MATCH($A5,'Loans (reference)'!$A$2:$A$500,0)),"UID not in Loans tab",IF($E5="","Add payment no.",IF(COUNTIFS($A$2:$A$300,$A5,$E$2:$E$300,$E5)&gt;1,"Duplicate payment no.",IF($F5="","Add payment date",IF(COUNT($G5:$I5)=0,"Add an amount","Ready")))))))</f>
        <v/>
      </c>
      <c r="P5" s="19"/>
      <c r="Q5" s="20"/>
    </row>
    <row r="6" customFormat="false" ht="15" hidden="false" customHeight="false" outlineLevel="0" collapsed="false">
      <c r="A6" s="12"/>
      <c r="B6" s="13" t="str">
        <f aca="false">IF($A6="","",IFERROR(INDEX('Loans (reference)'!$B$2:$B$500,MATCH($A6,'Loans (reference)'!$A$2:$A$500,0)),"not found"))</f>
        <v/>
      </c>
      <c r="C6" s="14" t="str">
        <f aca="false">IF($A6="","",IFERROR(INDEX('Loans (reference)'!$E$2:$E$500,MATCH($A6,'Loans (reference)'!$A$2:$A$500,0)),""))</f>
        <v/>
      </c>
      <c r="D6" s="13" t="str">
        <f aca="false">IF($A6="","",IFERROR(INDEX('Loans (reference)'!$K$2:$K$500,MATCH($A6,'Loans (reference)'!$A$2:$A$500,0)),""))</f>
        <v/>
      </c>
      <c r="E6" s="15"/>
      <c r="F6" s="16"/>
      <c r="G6" s="17"/>
      <c r="H6" s="17"/>
      <c r="I6" s="17"/>
      <c r="J6" s="17"/>
      <c r="K6" s="18" t="str">
        <f aca="false">IF(COUNT($G6:$I6)=0,"",SUM($G6:$I6))</f>
        <v/>
      </c>
      <c r="L6" s="15"/>
      <c r="M6" s="15"/>
      <c r="N6" s="15"/>
      <c r="O6" s="13" t="str">
        <f aca="false">IF(COUNTA($A6,$E6:$J6,$L6:$N6)=0,"",IF($A6="","Add Loan UID",IF(ISNA(MATCH($A6,'Loans (reference)'!$A$2:$A$500,0)),"UID not in Loans tab",IF($E6="","Add payment no.",IF(COUNTIFS($A$2:$A$300,$A6,$E$2:$E$300,$E6)&gt;1,"Duplicate payment no.",IF($F6="","Add payment date",IF(COUNT($G6:$I6)=0,"Add an amount","Ready")))))))</f>
        <v/>
      </c>
      <c r="P6" s="19"/>
      <c r="Q6" s="20"/>
    </row>
    <row r="7" customFormat="false" ht="15" hidden="false" customHeight="false" outlineLevel="0" collapsed="false">
      <c r="A7" s="12"/>
      <c r="B7" s="13" t="str">
        <f aca="false">IF($A7="","",IFERROR(INDEX('Loans (reference)'!$B$2:$B$500,MATCH($A7,'Loans (reference)'!$A$2:$A$500,0)),"not found"))</f>
        <v/>
      </c>
      <c r="C7" s="14" t="str">
        <f aca="false">IF($A7="","",IFERROR(INDEX('Loans (reference)'!$E$2:$E$500,MATCH($A7,'Loans (reference)'!$A$2:$A$500,0)),""))</f>
        <v/>
      </c>
      <c r="D7" s="13" t="str">
        <f aca="false">IF($A7="","",IFERROR(INDEX('Loans (reference)'!$K$2:$K$500,MATCH($A7,'Loans (reference)'!$A$2:$A$500,0)),""))</f>
        <v/>
      </c>
      <c r="E7" s="15"/>
      <c r="F7" s="16"/>
      <c r="G7" s="17"/>
      <c r="H7" s="17"/>
      <c r="I7" s="17"/>
      <c r="J7" s="17"/>
      <c r="K7" s="18" t="str">
        <f aca="false">IF(COUNT($G7:$I7)=0,"",SUM($G7:$I7))</f>
        <v/>
      </c>
      <c r="L7" s="15"/>
      <c r="M7" s="15"/>
      <c r="N7" s="15"/>
      <c r="O7" s="13" t="str">
        <f aca="false">IF(COUNTA($A7,$E7:$J7,$L7:$N7)=0,"",IF($A7="","Add Loan UID",IF(ISNA(MATCH($A7,'Loans (reference)'!$A$2:$A$500,0)),"UID not in Loans tab",IF($E7="","Add payment no.",IF(COUNTIFS($A$2:$A$300,$A7,$E$2:$E$300,$E7)&gt;1,"Duplicate payment no.",IF($F7="","Add payment date",IF(COUNT($G7:$I7)=0,"Add an amount","Ready")))))))</f>
        <v/>
      </c>
      <c r="P7" s="19"/>
      <c r="Q7" s="20"/>
    </row>
    <row r="8" customFormat="false" ht="15" hidden="false" customHeight="false" outlineLevel="0" collapsed="false">
      <c r="A8" s="12"/>
      <c r="B8" s="13" t="str">
        <f aca="false">IF($A8="","",IFERROR(INDEX('Loans (reference)'!$B$2:$B$500,MATCH($A8,'Loans (reference)'!$A$2:$A$500,0)),"not found"))</f>
        <v/>
      </c>
      <c r="C8" s="14" t="str">
        <f aca="false">IF($A8="","",IFERROR(INDEX('Loans (reference)'!$E$2:$E$500,MATCH($A8,'Loans (reference)'!$A$2:$A$500,0)),""))</f>
        <v/>
      </c>
      <c r="D8" s="13" t="str">
        <f aca="false">IF($A8="","",IFERROR(INDEX('Loans (reference)'!$K$2:$K$500,MATCH($A8,'Loans (reference)'!$A$2:$A$500,0)),""))</f>
        <v/>
      </c>
      <c r="E8" s="15"/>
      <c r="F8" s="16"/>
      <c r="G8" s="17"/>
      <c r="H8" s="17"/>
      <c r="I8" s="17"/>
      <c r="J8" s="17"/>
      <c r="K8" s="18" t="str">
        <f aca="false">IF(COUNT($G8:$I8)=0,"",SUM($G8:$I8))</f>
        <v/>
      </c>
      <c r="L8" s="15"/>
      <c r="M8" s="15"/>
      <c r="N8" s="15"/>
      <c r="O8" s="13" t="str">
        <f aca="false">IF(COUNTA($A8,$E8:$J8,$L8:$N8)=0,"",IF($A8="","Add Loan UID",IF(ISNA(MATCH($A8,'Loans (reference)'!$A$2:$A$500,0)),"UID not in Loans tab",IF($E8="","Add payment no.",IF(COUNTIFS($A$2:$A$300,$A8,$E$2:$E$300,$E8)&gt;1,"Duplicate payment no.",IF($F8="","Add payment date",IF(COUNT($G8:$I8)=0,"Add an amount","Ready")))))))</f>
        <v/>
      </c>
      <c r="P8" s="19"/>
      <c r="Q8" s="20"/>
    </row>
    <row r="9" customFormat="false" ht="15" hidden="false" customHeight="false" outlineLevel="0" collapsed="false">
      <c r="A9" s="12"/>
      <c r="B9" s="13" t="str">
        <f aca="false">IF($A9="","",IFERROR(INDEX('Loans (reference)'!$B$2:$B$500,MATCH($A9,'Loans (reference)'!$A$2:$A$500,0)),"not found"))</f>
        <v/>
      </c>
      <c r="C9" s="14" t="str">
        <f aca="false">IF($A9="","",IFERROR(INDEX('Loans (reference)'!$E$2:$E$500,MATCH($A9,'Loans (reference)'!$A$2:$A$500,0)),""))</f>
        <v/>
      </c>
      <c r="D9" s="13" t="str">
        <f aca="false">IF($A9="","",IFERROR(INDEX('Loans (reference)'!$K$2:$K$500,MATCH($A9,'Loans (reference)'!$A$2:$A$500,0)),""))</f>
        <v/>
      </c>
      <c r="E9" s="15"/>
      <c r="F9" s="16"/>
      <c r="G9" s="17"/>
      <c r="H9" s="17"/>
      <c r="I9" s="17"/>
      <c r="J9" s="17"/>
      <c r="K9" s="18" t="str">
        <f aca="false">IF(COUNT($G9:$I9)=0,"",SUM($G9:$I9))</f>
        <v/>
      </c>
      <c r="L9" s="15"/>
      <c r="M9" s="15"/>
      <c r="N9" s="15"/>
      <c r="O9" s="13" t="str">
        <f aca="false">IF(COUNTA($A9,$E9:$J9,$L9:$N9)=0,"",IF($A9="","Add Loan UID",IF(ISNA(MATCH($A9,'Loans (reference)'!$A$2:$A$500,0)),"UID not in Loans tab",IF($E9="","Add payment no.",IF(COUNTIFS($A$2:$A$300,$A9,$E$2:$E$300,$E9)&gt;1,"Duplicate payment no.",IF($F9="","Add payment date",IF(COUNT($G9:$I9)=0,"Add an amount","Ready")))))))</f>
        <v/>
      </c>
      <c r="P9" s="19"/>
      <c r="Q9" s="20"/>
    </row>
    <row r="10" customFormat="false" ht="15" hidden="false" customHeight="false" outlineLevel="0" collapsed="false">
      <c r="A10" s="12"/>
      <c r="B10" s="13" t="str">
        <f aca="false">IF($A10="","",IFERROR(INDEX('Loans (reference)'!$B$2:$B$500,MATCH($A10,'Loans (reference)'!$A$2:$A$500,0)),"not found"))</f>
        <v/>
      </c>
      <c r="C10" s="14" t="str">
        <f aca="false">IF($A10="","",IFERROR(INDEX('Loans (reference)'!$E$2:$E$500,MATCH($A10,'Loans (reference)'!$A$2:$A$500,0)),""))</f>
        <v/>
      </c>
      <c r="D10" s="13" t="str">
        <f aca="false">IF($A10="","",IFERROR(INDEX('Loans (reference)'!$K$2:$K$500,MATCH($A10,'Loans (reference)'!$A$2:$A$500,0)),""))</f>
        <v/>
      </c>
      <c r="E10" s="15"/>
      <c r="F10" s="16"/>
      <c r="G10" s="17"/>
      <c r="H10" s="17"/>
      <c r="I10" s="17"/>
      <c r="J10" s="17"/>
      <c r="K10" s="18" t="str">
        <f aca="false">IF(COUNT($G10:$I10)=0,"",SUM($G10:$I10))</f>
        <v/>
      </c>
      <c r="L10" s="15"/>
      <c r="M10" s="15"/>
      <c r="N10" s="15"/>
      <c r="O10" s="13" t="str">
        <f aca="false">IF(COUNTA($A10,$E10:$J10,$L10:$N10)=0,"",IF($A10="","Add Loan UID",IF(ISNA(MATCH($A10,'Loans (reference)'!$A$2:$A$500,0)),"UID not in Loans tab",IF($E10="","Add payment no.",IF(COUNTIFS($A$2:$A$300,$A10,$E$2:$E$300,$E10)&gt;1,"Duplicate payment no.",IF($F10="","Add payment date",IF(COUNT($G10:$I10)=0,"Add an amount","Ready")))))))</f>
        <v/>
      </c>
      <c r="P10" s="19"/>
      <c r="Q10" s="20"/>
    </row>
    <row r="11" customFormat="false" ht="15" hidden="false" customHeight="false" outlineLevel="0" collapsed="false">
      <c r="A11" s="12"/>
      <c r="B11" s="13" t="str">
        <f aca="false">IF($A11="","",IFERROR(INDEX('Loans (reference)'!$B$2:$B$500,MATCH($A11,'Loans (reference)'!$A$2:$A$500,0)),"not found"))</f>
        <v/>
      </c>
      <c r="C11" s="14" t="str">
        <f aca="false">IF($A11="","",IFERROR(INDEX('Loans (reference)'!$E$2:$E$500,MATCH($A11,'Loans (reference)'!$A$2:$A$500,0)),""))</f>
        <v/>
      </c>
      <c r="D11" s="13" t="str">
        <f aca="false">IF($A11="","",IFERROR(INDEX('Loans (reference)'!$K$2:$K$500,MATCH($A11,'Loans (reference)'!$A$2:$A$500,0)),""))</f>
        <v/>
      </c>
      <c r="E11" s="15"/>
      <c r="F11" s="16"/>
      <c r="G11" s="17"/>
      <c r="H11" s="17"/>
      <c r="I11" s="17"/>
      <c r="J11" s="17"/>
      <c r="K11" s="18" t="str">
        <f aca="false">IF(COUNT($G11:$I11)=0,"",SUM($G11:$I11))</f>
        <v/>
      </c>
      <c r="L11" s="15"/>
      <c r="M11" s="15"/>
      <c r="N11" s="15"/>
      <c r="O11" s="13" t="str">
        <f aca="false">IF(COUNTA($A11,$E11:$J11,$L11:$N11)=0,"",IF($A11="","Add Loan UID",IF(ISNA(MATCH($A11,'Loans (reference)'!$A$2:$A$500,0)),"UID not in Loans tab",IF($E11="","Add payment no.",IF(COUNTIFS($A$2:$A$300,$A11,$E$2:$E$300,$E11)&gt;1,"Duplicate payment no.",IF($F11="","Add payment date",IF(COUNT($G11:$I11)=0,"Add an amount","Ready")))))))</f>
        <v/>
      </c>
      <c r="P11" s="19"/>
      <c r="Q11" s="20"/>
    </row>
    <row r="12" customFormat="false" ht="15" hidden="false" customHeight="false" outlineLevel="0" collapsed="false">
      <c r="A12" s="12"/>
      <c r="B12" s="13" t="str">
        <f aca="false">IF($A12="","",IFERROR(INDEX('Loans (reference)'!$B$2:$B$500,MATCH($A12,'Loans (reference)'!$A$2:$A$500,0)),"not found"))</f>
        <v/>
      </c>
      <c r="C12" s="14" t="str">
        <f aca="false">IF($A12="","",IFERROR(INDEX('Loans (reference)'!$E$2:$E$500,MATCH($A12,'Loans (reference)'!$A$2:$A$500,0)),""))</f>
        <v/>
      </c>
      <c r="D12" s="13" t="str">
        <f aca="false">IF($A12="","",IFERROR(INDEX('Loans (reference)'!$K$2:$K$500,MATCH($A12,'Loans (reference)'!$A$2:$A$500,0)),""))</f>
        <v/>
      </c>
      <c r="E12" s="15"/>
      <c r="F12" s="16"/>
      <c r="G12" s="17"/>
      <c r="H12" s="17"/>
      <c r="I12" s="17"/>
      <c r="J12" s="17"/>
      <c r="K12" s="18" t="str">
        <f aca="false">IF(COUNT($G12:$I12)=0,"",SUM($G12:$I12))</f>
        <v/>
      </c>
      <c r="L12" s="15"/>
      <c r="M12" s="15"/>
      <c r="N12" s="15"/>
      <c r="O12" s="13" t="str">
        <f aca="false">IF(COUNTA($A12,$E12:$J12,$L12:$N12)=0,"",IF($A12="","Add Loan UID",IF(ISNA(MATCH($A12,'Loans (reference)'!$A$2:$A$500,0)),"UID not in Loans tab",IF($E12="","Add payment no.",IF(COUNTIFS($A$2:$A$300,$A12,$E$2:$E$300,$E12)&gt;1,"Duplicate payment no.",IF($F12="","Add payment date",IF(COUNT($G12:$I12)=0,"Add an amount","Ready")))))))</f>
        <v/>
      </c>
      <c r="P12" s="19"/>
      <c r="Q12" s="20"/>
    </row>
    <row r="13" customFormat="false" ht="15" hidden="false" customHeight="false" outlineLevel="0" collapsed="false">
      <c r="A13" s="12"/>
      <c r="B13" s="13" t="str">
        <f aca="false">IF($A13="","",IFERROR(INDEX('Loans (reference)'!$B$2:$B$500,MATCH($A13,'Loans (reference)'!$A$2:$A$500,0)),"not found"))</f>
        <v/>
      </c>
      <c r="C13" s="14" t="str">
        <f aca="false">IF($A13="","",IFERROR(INDEX('Loans (reference)'!$E$2:$E$500,MATCH($A13,'Loans (reference)'!$A$2:$A$500,0)),""))</f>
        <v/>
      </c>
      <c r="D13" s="13" t="str">
        <f aca="false">IF($A13="","",IFERROR(INDEX('Loans (reference)'!$K$2:$K$500,MATCH($A13,'Loans (reference)'!$A$2:$A$500,0)),""))</f>
        <v/>
      </c>
      <c r="E13" s="15"/>
      <c r="F13" s="16"/>
      <c r="G13" s="17"/>
      <c r="H13" s="17"/>
      <c r="I13" s="17"/>
      <c r="J13" s="17"/>
      <c r="K13" s="18" t="str">
        <f aca="false">IF(COUNT($G13:$I13)=0,"",SUM($G13:$I13))</f>
        <v/>
      </c>
      <c r="L13" s="15"/>
      <c r="M13" s="15"/>
      <c r="N13" s="15"/>
      <c r="O13" s="13" t="str">
        <f aca="false">IF(COUNTA($A13,$E13:$J13,$L13:$N13)=0,"",IF($A13="","Add Loan UID",IF(ISNA(MATCH($A13,'Loans (reference)'!$A$2:$A$500,0)),"UID not in Loans tab",IF($E13="","Add payment no.",IF(COUNTIFS($A$2:$A$300,$A13,$E$2:$E$300,$E13)&gt;1,"Duplicate payment no.",IF($F13="","Add payment date",IF(COUNT($G13:$I13)=0,"Add an amount","Ready")))))))</f>
        <v/>
      </c>
      <c r="P13" s="19"/>
      <c r="Q13" s="20"/>
    </row>
    <row r="14" customFormat="false" ht="15" hidden="false" customHeight="false" outlineLevel="0" collapsed="false">
      <c r="A14" s="12"/>
      <c r="B14" s="13" t="str">
        <f aca="false">IF($A14="","",IFERROR(INDEX('Loans (reference)'!$B$2:$B$500,MATCH($A14,'Loans (reference)'!$A$2:$A$500,0)),"not found"))</f>
        <v/>
      </c>
      <c r="C14" s="14" t="str">
        <f aca="false">IF($A14="","",IFERROR(INDEX('Loans (reference)'!$E$2:$E$500,MATCH($A14,'Loans (reference)'!$A$2:$A$500,0)),""))</f>
        <v/>
      </c>
      <c r="D14" s="13" t="str">
        <f aca="false">IF($A14="","",IFERROR(INDEX('Loans (reference)'!$K$2:$K$500,MATCH($A14,'Loans (reference)'!$A$2:$A$500,0)),""))</f>
        <v/>
      </c>
      <c r="E14" s="15"/>
      <c r="F14" s="16"/>
      <c r="G14" s="17"/>
      <c r="H14" s="17"/>
      <c r="I14" s="17"/>
      <c r="J14" s="17"/>
      <c r="K14" s="18" t="str">
        <f aca="false">IF(COUNT($G14:$I14)=0,"",SUM($G14:$I14))</f>
        <v/>
      </c>
      <c r="L14" s="15"/>
      <c r="M14" s="15"/>
      <c r="N14" s="15"/>
      <c r="O14" s="13" t="str">
        <f aca="false">IF(COUNTA($A14,$E14:$J14,$L14:$N14)=0,"",IF($A14="","Add Loan UID",IF(ISNA(MATCH($A14,'Loans (reference)'!$A$2:$A$500,0)),"UID not in Loans tab",IF($E14="","Add payment no.",IF(COUNTIFS($A$2:$A$300,$A14,$E$2:$E$300,$E14)&gt;1,"Duplicate payment no.",IF($F14="","Add payment date",IF(COUNT($G14:$I14)=0,"Add an amount","Ready")))))))</f>
        <v/>
      </c>
      <c r="P14" s="19"/>
      <c r="Q14" s="20"/>
    </row>
    <row r="15" customFormat="false" ht="15" hidden="false" customHeight="false" outlineLevel="0" collapsed="false">
      <c r="A15" s="12"/>
      <c r="B15" s="13" t="str">
        <f aca="false">IF($A15="","",IFERROR(INDEX('Loans (reference)'!$B$2:$B$500,MATCH($A15,'Loans (reference)'!$A$2:$A$500,0)),"not found"))</f>
        <v/>
      </c>
      <c r="C15" s="14" t="str">
        <f aca="false">IF($A15="","",IFERROR(INDEX('Loans (reference)'!$E$2:$E$500,MATCH($A15,'Loans (reference)'!$A$2:$A$500,0)),""))</f>
        <v/>
      </c>
      <c r="D15" s="13" t="str">
        <f aca="false">IF($A15="","",IFERROR(INDEX('Loans (reference)'!$K$2:$K$500,MATCH($A15,'Loans (reference)'!$A$2:$A$500,0)),""))</f>
        <v/>
      </c>
      <c r="E15" s="15"/>
      <c r="F15" s="16"/>
      <c r="G15" s="17"/>
      <c r="H15" s="17"/>
      <c r="I15" s="17"/>
      <c r="J15" s="17"/>
      <c r="K15" s="18" t="str">
        <f aca="false">IF(COUNT($G15:$I15)=0,"",SUM($G15:$I15))</f>
        <v/>
      </c>
      <c r="L15" s="15"/>
      <c r="M15" s="15"/>
      <c r="N15" s="15"/>
      <c r="O15" s="13" t="str">
        <f aca="false">IF(COUNTA($A15,$E15:$J15,$L15:$N15)=0,"",IF($A15="","Add Loan UID",IF(ISNA(MATCH($A15,'Loans (reference)'!$A$2:$A$500,0)),"UID not in Loans tab",IF($E15="","Add payment no.",IF(COUNTIFS($A$2:$A$300,$A15,$E$2:$E$300,$E15)&gt;1,"Duplicate payment no.",IF($F15="","Add payment date",IF(COUNT($G15:$I15)=0,"Add an amount","Ready")))))))</f>
        <v/>
      </c>
      <c r="P15" s="19"/>
      <c r="Q15" s="20"/>
    </row>
    <row r="16" customFormat="false" ht="15" hidden="false" customHeight="false" outlineLevel="0" collapsed="false">
      <c r="A16" s="12"/>
      <c r="B16" s="13" t="str">
        <f aca="false">IF($A16="","",IFERROR(INDEX('Loans (reference)'!$B$2:$B$500,MATCH($A16,'Loans (reference)'!$A$2:$A$500,0)),"not found"))</f>
        <v/>
      </c>
      <c r="C16" s="14" t="str">
        <f aca="false">IF($A16="","",IFERROR(INDEX('Loans (reference)'!$E$2:$E$500,MATCH($A16,'Loans (reference)'!$A$2:$A$500,0)),""))</f>
        <v/>
      </c>
      <c r="D16" s="13" t="str">
        <f aca="false">IF($A16="","",IFERROR(INDEX('Loans (reference)'!$K$2:$K$500,MATCH($A16,'Loans (reference)'!$A$2:$A$500,0)),""))</f>
        <v/>
      </c>
      <c r="E16" s="15"/>
      <c r="F16" s="16"/>
      <c r="G16" s="17"/>
      <c r="H16" s="17"/>
      <c r="I16" s="17"/>
      <c r="J16" s="17"/>
      <c r="K16" s="18" t="str">
        <f aca="false">IF(COUNT($G16:$I16)=0,"",SUM($G16:$I16))</f>
        <v/>
      </c>
      <c r="L16" s="15"/>
      <c r="M16" s="15"/>
      <c r="N16" s="15"/>
      <c r="O16" s="13" t="str">
        <f aca="false">IF(COUNTA($A16,$E16:$J16,$L16:$N16)=0,"",IF($A16="","Add Loan UID",IF(ISNA(MATCH($A16,'Loans (reference)'!$A$2:$A$500,0)),"UID not in Loans tab",IF($E16="","Add payment no.",IF(COUNTIFS($A$2:$A$300,$A16,$E$2:$E$300,$E16)&gt;1,"Duplicate payment no.",IF($F16="","Add payment date",IF(COUNT($G16:$I16)=0,"Add an amount","Ready")))))))</f>
        <v/>
      </c>
      <c r="P16" s="19"/>
      <c r="Q16" s="20"/>
    </row>
    <row r="17" customFormat="false" ht="15" hidden="false" customHeight="false" outlineLevel="0" collapsed="false">
      <c r="A17" s="12"/>
      <c r="B17" s="13" t="str">
        <f aca="false">IF($A17="","",IFERROR(INDEX('Loans (reference)'!$B$2:$B$500,MATCH($A17,'Loans (reference)'!$A$2:$A$500,0)),"not found"))</f>
        <v/>
      </c>
      <c r="C17" s="14" t="str">
        <f aca="false">IF($A17="","",IFERROR(INDEX('Loans (reference)'!$E$2:$E$500,MATCH($A17,'Loans (reference)'!$A$2:$A$500,0)),""))</f>
        <v/>
      </c>
      <c r="D17" s="13" t="str">
        <f aca="false">IF($A17="","",IFERROR(INDEX('Loans (reference)'!$K$2:$K$500,MATCH($A17,'Loans (reference)'!$A$2:$A$500,0)),""))</f>
        <v/>
      </c>
      <c r="E17" s="15"/>
      <c r="F17" s="16"/>
      <c r="G17" s="17"/>
      <c r="H17" s="17"/>
      <c r="I17" s="17"/>
      <c r="J17" s="17"/>
      <c r="K17" s="18" t="str">
        <f aca="false">IF(COUNT($G17:$I17)=0,"",SUM($G17:$I17))</f>
        <v/>
      </c>
      <c r="L17" s="15"/>
      <c r="M17" s="15"/>
      <c r="N17" s="15"/>
      <c r="O17" s="13" t="str">
        <f aca="false">IF(COUNTA($A17,$E17:$J17,$L17:$N17)=0,"",IF($A17="","Add Loan UID",IF(ISNA(MATCH($A17,'Loans (reference)'!$A$2:$A$500,0)),"UID not in Loans tab",IF($E17="","Add payment no.",IF(COUNTIFS($A$2:$A$300,$A17,$E$2:$E$300,$E17)&gt;1,"Duplicate payment no.",IF($F17="","Add payment date",IF(COUNT($G17:$I17)=0,"Add an amount","Ready")))))))</f>
        <v/>
      </c>
      <c r="P17" s="19"/>
      <c r="Q17" s="20"/>
    </row>
    <row r="18" customFormat="false" ht="15" hidden="false" customHeight="false" outlineLevel="0" collapsed="false">
      <c r="A18" s="12"/>
      <c r="B18" s="13" t="str">
        <f aca="false">IF($A18="","",IFERROR(INDEX('Loans (reference)'!$B$2:$B$500,MATCH($A18,'Loans (reference)'!$A$2:$A$500,0)),"not found"))</f>
        <v/>
      </c>
      <c r="C18" s="14" t="str">
        <f aca="false">IF($A18="","",IFERROR(INDEX('Loans (reference)'!$E$2:$E$500,MATCH($A18,'Loans (reference)'!$A$2:$A$500,0)),""))</f>
        <v/>
      </c>
      <c r="D18" s="13" t="str">
        <f aca="false">IF($A18="","",IFERROR(INDEX('Loans (reference)'!$K$2:$K$500,MATCH($A18,'Loans (reference)'!$A$2:$A$500,0)),""))</f>
        <v/>
      </c>
      <c r="E18" s="15"/>
      <c r="F18" s="16"/>
      <c r="G18" s="17"/>
      <c r="H18" s="17"/>
      <c r="I18" s="17"/>
      <c r="J18" s="17"/>
      <c r="K18" s="18" t="str">
        <f aca="false">IF(COUNT($G18:$I18)=0,"",SUM($G18:$I18))</f>
        <v/>
      </c>
      <c r="L18" s="15"/>
      <c r="M18" s="15"/>
      <c r="N18" s="15"/>
      <c r="O18" s="13" t="str">
        <f aca="false">IF(COUNTA($A18,$E18:$J18,$L18:$N18)=0,"",IF($A18="","Add Loan UID",IF(ISNA(MATCH($A18,'Loans (reference)'!$A$2:$A$500,0)),"UID not in Loans tab",IF($E18="","Add payment no.",IF(COUNTIFS($A$2:$A$300,$A18,$E$2:$E$300,$E18)&gt;1,"Duplicate payment no.",IF($F18="","Add payment date",IF(COUNT($G18:$I18)=0,"Add an amount","Ready")))))))</f>
        <v/>
      </c>
      <c r="P18" s="19"/>
      <c r="Q18" s="20"/>
    </row>
    <row r="19" customFormat="false" ht="15" hidden="false" customHeight="false" outlineLevel="0" collapsed="false">
      <c r="A19" s="12"/>
      <c r="B19" s="13" t="str">
        <f aca="false">IF($A19="","",IFERROR(INDEX('Loans (reference)'!$B$2:$B$500,MATCH($A19,'Loans (reference)'!$A$2:$A$500,0)),"not found"))</f>
        <v/>
      </c>
      <c r="C19" s="14" t="str">
        <f aca="false">IF($A19="","",IFERROR(INDEX('Loans (reference)'!$E$2:$E$500,MATCH($A19,'Loans (reference)'!$A$2:$A$500,0)),""))</f>
        <v/>
      </c>
      <c r="D19" s="13" t="str">
        <f aca="false">IF($A19="","",IFERROR(INDEX('Loans (reference)'!$K$2:$K$500,MATCH($A19,'Loans (reference)'!$A$2:$A$500,0)),""))</f>
        <v/>
      </c>
      <c r="E19" s="15"/>
      <c r="F19" s="16"/>
      <c r="G19" s="17"/>
      <c r="H19" s="17"/>
      <c r="I19" s="17"/>
      <c r="J19" s="17"/>
      <c r="K19" s="18" t="str">
        <f aca="false">IF(COUNT($G19:$I19)=0,"",SUM($G19:$I19))</f>
        <v/>
      </c>
      <c r="L19" s="15"/>
      <c r="M19" s="15"/>
      <c r="N19" s="15"/>
      <c r="O19" s="13" t="str">
        <f aca="false">IF(COUNTA($A19,$E19:$J19,$L19:$N19)=0,"",IF($A19="","Add Loan UID",IF(ISNA(MATCH($A19,'Loans (reference)'!$A$2:$A$500,0)),"UID not in Loans tab",IF($E19="","Add payment no.",IF(COUNTIFS($A$2:$A$300,$A19,$E$2:$E$300,$E19)&gt;1,"Duplicate payment no.",IF($F19="","Add payment date",IF(COUNT($G19:$I19)=0,"Add an amount","Ready")))))))</f>
        <v/>
      </c>
      <c r="P19" s="19"/>
      <c r="Q19" s="20"/>
    </row>
    <row r="20" customFormat="false" ht="15" hidden="false" customHeight="false" outlineLevel="0" collapsed="false">
      <c r="A20" s="12"/>
      <c r="B20" s="13" t="str">
        <f aca="false">IF($A20="","",IFERROR(INDEX('Loans (reference)'!$B$2:$B$500,MATCH($A20,'Loans (reference)'!$A$2:$A$500,0)),"not found"))</f>
        <v/>
      </c>
      <c r="C20" s="14" t="str">
        <f aca="false">IF($A20="","",IFERROR(INDEX('Loans (reference)'!$E$2:$E$500,MATCH($A20,'Loans (reference)'!$A$2:$A$500,0)),""))</f>
        <v/>
      </c>
      <c r="D20" s="13" t="str">
        <f aca="false">IF($A20="","",IFERROR(INDEX('Loans (reference)'!$K$2:$K$500,MATCH($A20,'Loans (reference)'!$A$2:$A$500,0)),""))</f>
        <v/>
      </c>
      <c r="E20" s="15"/>
      <c r="F20" s="16"/>
      <c r="G20" s="17"/>
      <c r="H20" s="17"/>
      <c r="I20" s="17"/>
      <c r="J20" s="17"/>
      <c r="K20" s="18" t="str">
        <f aca="false">IF(COUNT($G20:$I20)=0,"",SUM($G20:$I20))</f>
        <v/>
      </c>
      <c r="L20" s="15"/>
      <c r="M20" s="15"/>
      <c r="N20" s="15"/>
      <c r="O20" s="13" t="str">
        <f aca="false">IF(COUNTA($A20,$E20:$J20,$L20:$N20)=0,"",IF($A20="","Add Loan UID",IF(ISNA(MATCH($A20,'Loans (reference)'!$A$2:$A$500,0)),"UID not in Loans tab",IF($E20="","Add payment no.",IF(COUNTIFS($A$2:$A$300,$A20,$E$2:$E$300,$E20)&gt;1,"Duplicate payment no.",IF($F20="","Add payment date",IF(COUNT($G20:$I20)=0,"Add an amount","Ready")))))))</f>
        <v/>
      </c>
      <c r="P20" s="19"/>
      <c r="Q20" s="20"/>
    </row>
    <row r="21" customFormat="false" ht="15" hidden="false" customHeight="false" outlineLevel="0" collapsed="false">
      <c r="A21" s="12"/>
      <c r="B21" s="13" t="str">
        <f aca="false">IF($A21="","",IFERROR(INDEX('Loans (reference)'!$B$2:$B$500,MATCH($A21,'Loans (reference)'!$A$2:$A$500,0)),"not found"))</f>
        <v/>
      </c>
      <c r="C21" s="14" t="str">
        <f aca="false">IF($A21="","",IFERROR(INDEX('Loans (reference)'!$E$2:$E$500,MATCH($A21,'Loans (reference)'!$A$2:$A$500,0)),""))</f>
        <v/>
      </c>
      <c r="D21" s="13" t="str">
        <f aca="false">IF($A21="","",IFERROR(INDEX('Loans (reference)'!$K$2:$K$500,MATCH($A21,'Loans (reference)'!$A$2:$A$500,0)),""))</f>
        <v/>
      </c>
      <c r="E21" s="15"/>
      <c r="F21" s="16"/>
      <c r="G21" s="17"/>
      <c r="H21" s="17"/>
      <c r="I21" s="17"/>
      <c r="J21" s="17"/>
      <c r="K21" s="18" t="str">
        <f aca="false">IF(COUNT($G21:$I21)=0,"",SUM($G21:$I21))</f>
        <v/>
      </c>
      <c r="L21" s="15"/>
      <c r="M21" s="15"/>
      <c r="N21" s="15"/>
      <c r="O21" s="13" t="str">
        <f aca="false">IF(COUNTA($A21,$E21:$J21,$L21:$N21)=0,"",IF($A21="","Add Loan UID",IF(ISNA(MATCH($A21,'Loans (reference)'!$A$2:$A$500,0)),"UID not in Loans tab",IF($E21="","Add payment no.",IF(COUNTIFS($A$2:$A$300,$A21,$E$2:$E$300,$E21)&gt;1,"Duplicate payment no.",IF($F21="","Add payment date",IF(COUNT($G21:$I21)=0,"Add an amount","Ready")))))))</f>
        <v/>
      </c>
      <c r="P21" s="19"/>
      <c r="Q21" s="20"/>
    </row>
    <row r="22" customFormat="false" ht="15" hidden="false" customHeight="false" outlineLevel="0" collapsed="false">
      <c r="A22" s="12"/>
      <c r="B22" s="13" t="str">
        <f aca="false">IF($A22="","",IFERROR(INDEX('Loans (reference)'!$B$2:$B$500,MATCH($A22,'Loans (reference)'!$A$2:$A$500,0)),"not found"))</f>
        <v/>
      </c>
      <c r="C22" s="14" t="str">
        <f aca="false">IF($A22="","",IFERROR(INDEX('Loans (reference)'!$E$2:$E$500,MATCH($A22,'Loans (reference)'!$A$2:$A$500,0)),""))</f>
        <v/>
      </c>
      <c r="D22" s="13" t="str">
        <f aca="false">IF($A22="","",IFERROR(INDEX('Loans (reference)'!$K$2:$K$500,MATCH($A22,'Loans (reference)'!$A$2:$A$500,0)),""))</f>
        <v/>
      </c>
      <c r="E22" s="15"/>
      <c r="F22" s="16"/>
      <c r="G22" s="17"/>
      <c r="H22" s="17"/>
      <c r="I22" s="17"/>
      <c r="J22" s="17"/>
      <c r="K22" s="18" t="str">
        <f aca="false">IF(COUNT($G22:$I22)=0,"",SUM($G22:$I22))</f>
        <v/>
      </c>
      <c r="L22" s="15"/>
      <c r="M22" s="15"/>
      <c r="N22" s="15"/>
      <c r="O22" s="13" t="str">
        <f aca="false">IF(COUNTA($A22,$E22:$J22,$L22:$N22)=0,"",IF($A22="","Add Loan UID",IF(ISNA(MATCH($A22,'Loans (reference)'!$A$2:$A$500,0)),"UID not in Loans tab",IF($E22="","Add payment no.",IF(COUNTIFS($A$2:$A$300,$A22,$E$2:$E$300,$E22)&gt;1,"Duplicate payment no.",IF($F22="","Add payment date",IF(COUNT($G22:$I22)=0,"Add an amount","Ready")))))))</f>
        <v/>
      </c>
      <c r="P22" s="19"/>
      <c r="Q22" s="20"/>
    </row>
    <row r="23" customFormat="false" ht="15" hidden="false" customHeight="false" outlineLevel="0" collapsed="false">
      <c r="A23" s="12"/>
      <c r="B23" s="13" t="str">
        <f aca="false">IF($A23="","",IFERROR(INDEX('Loans (reference)'!$B$2:$B$500,MATCH($A23,'Loans (reference)'!$A$2:$A$500,0)),"not found"))</f>
        <v/>
      </c>
      <c r="C23" s="14" t="str">
        <f aca="false">IF($A23="","",IFERROR(INDEX('Loans (reference)'!$E$2:$E$500,MATCH($A23,'Loans (reference)'!$A$2:$A$500,0)),""))</f>
        <v/>
      </c>
      <c r="D23" s="13" t="str">
        <f aca="false">IF($A23="","",IFERROR(INDEX('Loans (reference)'!$K$2:$K$500,MATCH($A23,'Loans (reference)'!$A$2:$A$500,0)),""))</f>
        <v/>
      </c>
      <c r="E23" s="15"/>
      <c r="F23" s="16"/>
      <c r="G23" s="17"/>
      <c r="H23" s="17"/>
      <c r="I23" s="17"/>
      <c r="J23" s="17"/>
      <c r="K23" s="18" t="str">
        <f aca="false">IF(COUNT($G23:$I23)=0,"",SUM($G23:$I23))</f>
        <v/>
      </c>
      <c r="L23" s="15"/>
      <c r="M23" s="15"/>
      <c r="N23" s="15"/>
      <c r="O23" s="13" t="str">
        <f aca="false">IF(COUNTA($A23,$E23:$J23,$L23:$N23)=0,"",IF($A23="","Add Loan UID",IF(ISNA(MATCH($A23,'Loans (reference)'!$A$2:$A$500,0)),"UID not in Loans tab",IF($E23="","Add payment no.",IF(COUNTIFS($A$2:$A$300,$A23,$E$2:$E$300,$E23)&gt;1,"Duplicate payment no.",IF($F23="","Add payment date",IF(COUNT($G23:$I23)=0,"Add an amount","Ready")))))))</f>
        <v/>
      </c>
      <c r="P23" s="19"/>
      <c r="Q23" s="20"/>
    </row>
    <row r="24" customFormat="false" ht="15" hidden="false" customHeight="false" outlineLevel="0" collapsed="false">
      <c r="A24" s="12"/>
      <c r="B24" s="13" t="str">
        <f aca="false">IF($A24="","",IFERROR(INDEX('Loans (reference)'!$B$2:$B$500,MATCH($A24,'Loans (reference)'!$A$2:$A$500,0)),"not found"))</f>
        <v/>
      </c>
      <c r="C24" s="14" t="str">
        <f aca="false">IF($A24="","",IFERROR(INDEX('Loans (reference)'!$E$2:$E$500,MATCH($A24,'Loans (reference)'!$A$2:$A$500,0)),""))</f>
        <v/>
      </c>
      <c r="D24" s="13" t="str">
        <f aca="false">IF($A24="","",IFERROR(INDEX('Loans (reference)'!$K$2:$K$500,MATCH($A24,'Loans (reference)'!$A$2:$A$500,0)),""))</f>
        <v/>
      </c>
      <c r="E24" s="15"/>
      <c r="F24" s="16"/>
      <c r="G24" s="17"/>
      <c r="H24" s="17"/>
      <c r="I24" s="17"/>
      <c r="J24" s="17"/>
      <c r="K24" s="18" t="str">
        <f aca="false">IF(COUNT($G24:$I24)=0,"",SUM($G24:$I24))</f>
        <v/>
      </c>
      <c r="L24" s="15"/>
      <c r="M24" s="15"/>
      <c r="N24" s="15"/>
      <c r="O24" s="13" t="str">
        <f aca="false">IF(COUNTA($A24,$E24:$J24,$L24:$N24)=0,"",IF($A24="","Add Loan UID",IF(ISNA(MATCH($A24,'Loans (reference)'!$A$2:$A$500,0)),"UID not in Loans tab",IF($E24="","Add payment no.",IF(COUNTIFS($A$2:$A$300,$A24,$E$2:$E$300,$E24)&gt;1,"Duplicate payment no.",IF($F24="","Add payment date",IF(COUNT($G24:$I24)=0,"Add an amount","Ready")))))))</f>
        <v/>
      </c>
      <c r="P24" s="19"/>
      <c r="Q24" s="20"/>
    </row>
    <row r="25" customFormat="false" ht="15" hidden="false" customHeight="false" outlineLevel="0" collapsed="false">
      <c r="A25" s="12"/>
      <c r="B25" s="13" t="str">
        <f aca="false">IF($A25="","",IFERROR(INDEX('Loans (reference)'!$B$2:$B$500,MATCH($A25,'Loans (reference)'!$A$2:$A$500,0)),"not found"))</f>
        <v/>
      </c>
      <c r="C25" s="14" t="str">
        <f aca="false">IF($A25="","",IFERROR(INDEX('Loans (reference)'!$E$2:$E$500,MATCH($A25,'Loans (reference)'!$A$2:$A$500,0)),""))</f>
        <v/>
      </c>
      <c r="D25" s="13" t="str">
        <f aca="false">IF($A25="","",IFERROR(INDEX('Loans (reference)'!$K$2:$K$500,MATCH($A25,'Loans (reference)'!$A$2:$A$500,0)),""))</f>
        <v/>
      </c>
      <c r="E25" s="15"/>
      <c r="F25" s="16"/>
      <c r="G25" s="17"/>
      <c r="H25" s="17"/>
      <c r="I25" s="17"/>
      <c r="J25" s="17"/>
      <c r="K25" s="18" t="str">
        <f aca="false">IF(COUNT($G25:$I25)=0,"",SUM($G25:$I25))</f>
        <v/>
      </c>
      <c r="L25" s="15"/>
      <c r="M25" s="15"/>
      <c r="N25" s="15"/>
      <c r="O25" s="13" t="str">
        <f aca="false">IF(COUNTA($A25,$E25:$J25,$L25:$N25)=0,"",IF($A25="","Add Loan UID",IF(ISNA(MATCH($A25,'Loans (reference)'!$A$2:$A$500,0)),"UID not in Loans tab",IF($E25="","Add payment no.",IF(COUNTIFS($A$2:$A$300,$A25,$E$2:$E$300,$E25)&gt;1,"Duplicate payment no.",IF($F25="","Add payment date",IF(COUNT($G25:$I25)=0,"Add an amount","Ready")))))))</f>
        <v/>
      </c>
      <c r="P25" s="19"/>
      <c r="Q25" s="20"/>
    </row>
    <row r="26" customFormat="false" ht="15" hidden="false" customHeight="false" outlineLevel="0" collapsed="false">
      <c r="A26" s="12"/>
      <c r="B26" s="13" t="str">
        <f aca="false">IF($A26="","",IFERROR(INDEX('Loans (reference)'!$B$2:$B$500,MATCH($A26,'Loans (reference)'!$A$2:$A$500,0)),"not found"))</f>
        <v/>
      </c>
      <c r="C26" s="14" t="str">
        <f aca="false">IF($A26="","",IFERROR(INDEX('Loans (reference)'!$E$2:$E$500,MATCH($A26,'Loans (reference)'!$A$2:$A$500,0)),""))</f>
        <v/>
      </c>
      <c r="D26" s="13" t="str">
        <f aca="false">IF($A26="","",IFERROR(INDEX('Loans (reference)'!$K$2:$K$500,MATCH($A26,'Loans (reference)'!$A$2:$A$500,0)),""))</f>
        <v/>
      </c>
      <c r="E26" s="15"/>
      <c r="F26" s="16"/>
      <c r="G26" s="17"/>
      <c r="H26" s="17"/>
      <c r="I26" s="17"/>
      <c r="J26" s="17"/>
      <c r="K26" s="18" t="str">
        <f aca="false">IF(COUNT($G26:$I26)=0,"",SUM($G26:$I26))</f>
        <v/>
      </c>
      <c r="L26" s="15"/>
      <c r="M26" s="15"/>
      <c r="N26" s="15"/>
      <c r="O26" s="13" t="str">
        <f aca="false">IF(COUNTA($A26,$E26:$J26,$L26:$N26)=0,"",IF($A26="","Add Loan UID",IF(ISNA(MATCH($A26,'Loans (reference)'!$A$2:$A$500,0)),"UID not in Loans tab",IF($E26="","Add payment no.",IF(COUNTIFS($A$2:$A$300,$A26,$E$2:$E$300,$E26)&gt;1,"Duplicate payment no.",IF($F26="","Add payment date",IF(COUNT($G26:$I26)=0,"Add an amount","Ready")))))))</f>
        <v/>
      </c>
      <c r="P26" s="19"/>
      <c r="Q26" s="20"/>
    </row>
    <row r="27" customFormat="false" ht="15" hidden="false" customHeight="false" outlineLevel="0" collapsed="false">
      <c r="A27" s="12"/>
      <c r="B27" s="13" t="str">
        <f aca="false">IF($A27="","",IFERROR(INDEX('Loans (reference)'!$B$2:$B$500,MATCH($A27,'Loans (reference)'!$A$2:$A$500,0)),"not found"))</f>
        <v/>
      </c>
      <c r="C27" s="14" t="str">
        <f aca="false">IF($A27="","",IFERROR(INDEX('Loans (reference)'!$E$2:$E$500,MATCH($A27,'Loans (reference)'!$A$2:$A$500,0)),""))</f>
        <v/>
      </c>
      <c r="D27" s="13" t="str">
        <f aca="false">IF($A27="","",IFERROR(INDEX('Loans (reference)'!$K$2:$K$500,MATCH($A27,'Loans (reference)'!$A$2:$A$500,0)),""))</f>
        <v/>
      </c>
      <c r="E27" s="15"/>
      <c r="F27" s="16"/>
      <c r="G27" s="17"/>
      <c r="H27" s="17"/>
      <c r="I27" s="17"/>
      <c r="J27" s="17"/>
      <c r="K27" s="18" t="str">
        <f aca="false">IF(COUNT($G27:$I27)=0,"",SUM($G27:$I27))</f>
        <v/>
      </c>
      <c r="L27" s="15"/>
      <c r="M27" s="15"/>
      <c r="N27" s="15"/>
      <c r="O27" s="13" t="str">
        <f aca="false">IF(COUNTA($A27,$E27:$J27,$L27:$N27)=0,"",IF($A27="","Add Loan UID",IF(ISNA(MATCH($A27,'Loans (reference)'!$A$2:$A$500,0)),"UID not in Loans tab",IF($E27="","Add payment no.",IF(COUNTIFS($A$2:$A$300,$A27,$E$2:$E$300,$E27)&gt;1,"Duplicate payment no.",IF($F27="","Add payment date",IF(COUNT($G27:$I27)=0,"Add an amount","Ready")))))))</f>
        <v/>
      </c>
      <c r="P27" s="19"/>
      <c r="Q27" s="20"/>
    </row>
    <row r="28" customFormat="false" ht="15" hidden="false" customHeight="false" outlineLevel="0" collapsed="false">
      <c r="A28" s="12"/>
      <c r="B28" s="13" t="str">
        <f aca="false">IF($A28="","",IFERROR(INDEX('Loans (reference)'!$B$2:$B$500,MATCH($A28,'Loans (reference)'!$A$2:$A$500,0)),"not found"))</f>
        <v/>
      </c>
      <c r="C28" s="14" t="str">
        <f aca="false">IF($A28="","",IFERROR(INDEX('Loans (reference)'!$E$2:$E$500,MATCH($A28,'Loans (reference)'!$A$2:$A$500,0)),""))</f>
        <v/>
      </c>
      <c r="D28" s="13" t="str">
        <f aca="false">IF($A28="","",IFERROR(INDEX('Loans (reference)'!$K$2:$K$500,MATCH($A28,'Loans (reference)'!$A$2:$A$500,0)),""))</f>
        <v/>
      </c>
      <c r="E28" s="15"/>
      <c r="F28" s="16"/>
      <c r="G28" s="17"/>
      <c r="H28" s="17"/>
      <c r="I28" s="17"/>
      <c r="J28" s="17"/>
      <c r="K28" s="18" t="str">
        <f aca="false">IF(COUNT($G28:$I28)=0,"",SUM($G28:$I28))</f>
        <v/>
      </c>
      <c r="L28" s="15"/>
      <c r="M28" s="15"/>
      <c r="N28" s="15"/>
      <c r="O28" s="13" t="str">
        <f aca="false">IF(COUNTA($A28,$E28:$J28,$L28:$N28)=0,"",IF($A28="","Add Loan UID",IF(ISNA(MATCH($A28,'Loans (reference)'!$A$2:$A$500,0)),"UID not in Loans tab",IF($E28="","Add payment no.",IF(COUNTIFS($A$2:$A$300,$A28,$E$2:$E$300,$E28)&gt;1,"Duplicate payment no.",IF($F28="","Add payment date",IF(COUNT($G28:$I28)=0,"Add an amount","Ready")))))))</f>
        <v/>
      </c>
      <c r="P28" s="19"/>
      <c r="Q28" s="20"/>
    </row>
    <row r="29" customFormat="false" ht="15" hidden="false" customHeight="false" outlineLevel="0" collapsed="false">
      <c r="A29" s="12"/>
      <c r="B29" s="13" t="str">
        <f aca="false">IF($A29="","",IFERROR(INDEX('Loans (reference)'!$B$2:$B$500,MATCH($A29,'Loans (reference)'!$A$2:$A$500,0)),"not found"))</f>
        <v/>
      </c>
      <c r="C29" s="14" t="str">
        <f aca="false">IF($A29="","",IFERROR(INDEX('Loans (reference)'!$E$2:$E$500,MATCH($A29,'Loans (reference)'!$A$2:$A$500,0)),""))</f>
        <v/>
      </c>
      <c r="D29" s="13" t="str">
        <f aca="false">IF($A29="","",IFERROR(INDEX('Loans (reference)'!$K$2:$K$500,MATCH($A29,'Loans (reference)'!$A$2:$A$500,0)),""))</f>
        <v/>
      </c>
      <c r="E29" s="15"/>
      <c r="F29" s="16"/>
      <c r="G29" s="17"/>
      <c r="H29" s="17"/>
      <c r="I29" s="17"/>
      <c r="J29" s="17"/>
      <c r="K29" s="18" t="str">
        <f aca="false">IF(COUNT($G29:$I29)=0,"",SUM($G29:$I29))</f>
        <v/>
      </c>
      <c r="L29" s="15"/>
      <c r="M29" s="15"/>
      <c r="N29" s="15"/>
      <c r="O29" s="13" t="str">
        <f aca="false">IF(COUNTA($A29,$E29:$J29,$L29:$N29)=0,"",IF($A29="","Add Loan UID",IF(ISNA(MATCH($A29,'Loans (reference)'!$A$2:$A$500,0)),"UID not in Loans tab",IF($E29="","Add payment no.",IF(COUNTIFS($A$2:$A$300,$A29,$E$2:$E$300,$E29)&gt;1,"Duplicate payment no.",IF($F29="","Add payment date",IF(COUNT($G29:$I29)=0,"Add an amount","Ready")))))))</f>
        <v/>
      </c>
      <c r="P29" s="19"/>
      <c r="Q29" s="20"/>
    </row>
    <row r="30" customFormat="false" ht="15" hidden="false" customHeight="false" outlineLevel="0" collapsed="false">
      <c r="A30" s="12"/>
      <c r="B30" s="13" t="str">
        <f aca="false">IF($A30="","",IFERROR(INDEX('Loans (reference)'!$B$2:$B$500,MATCH($A30,'Loans (reference)'!$A$2:$A$500,0)),"not found"))</f>
        <v/>
      </c>
      <c r="C30" s="14" t="str">
        <f aca="false">IF($A30="","",IFERROR(INDEX('Loans (reference)'!$E$2:$E$500,MATCH($A30,'Loans (reference)'!$A$2:$A$500,0)),""))</f>
        <v/>
      </c>
      <c r="D30" s="13" t="str">
        <f aca="false">IF($A30="","",IFERROR(INDEX('Loans (reference)'!$K$2:$K$500,MATCH($A30,'Loans (reference)'!$A$2:$A$500,0)),""))</f>
        <v/>
      </c>
      <c r="E30" s="15"/>
      <c r="F30" s="16"/>
      <c r="G30" s="17"/>
      <c r="H30" s="17"/>
      <c r="I30" s="17"/>
      <c r="J30" s="17"/>
      <c r="K30" s="18" t="str">
        <f aca="false">IF(COUNT($G30:$I30)=0,"",SUM($G30:$I30))</f>
        <v/>
      </c>
      <c r="L30" s="15"/>
      <c r="M30" s="15"/>
      <c r="N30" s="15"/>
      <c r="O30" s="13" t="str">
        <f aca="false">IF(COUNTA($A30,$E30:$J30,$L30:$N30)=0,"",IF($A30="","Add Loan UID",IF(ISNA(MATCH($A30,'Loans (reference)'!$A$2:$A$500,0)),"UID not in Loans tab",IF($E30="","Add payment no.",IF(COUNTIFS($A$2:$A$300,$A30,$E$2:$E$300,$E30)&gt;1,"Duplicate payment no.",IF($F30="","Add payment date",IF(COUNT($G30:$I30)=0,"Add an amount","Ready")))))))</f>
        <v/>
      </c>
      <c r="P30" s="19"/>
      <c r="Q30" s="20"/>
    </row>
    <row r="31" customFormat="false" ht="15" hidden="false" customHeight="false" outlineLevel="0" collapsed="false">
      <c r="A31" s="12"/>
      <c r="B31" s="13" t="str">
        <f aca="false">IF($A31="","",IFERROR(INDEX('Loans (reference)'!$B$2:$B$500,MATCH($A31,'Loans (reference)'!$A$2:$A$500,0)),"not found"))</f>
        <v/>
      </c>
      <c r="C31" s="14" t="str">
        <f aca="false">IF($A31="","",IFERROR(INDEX('Loans (reference)'!$E$2:$E$500,MATCH($A31,'Loans (reference)'!$A$2:$A$500,0)),""))</f>
        <v/>
      </c>
      <c r="D31" s="13" t="str">
        <f aca="false">IF($A31="","",IFERROR(INDEX('Loans (reference)'!$K$2:$K$500,MATCH($A31,'Loans (reference)'!$A$2:$A$500,0)),""))</f>
        <v/>
      </c>
      <c r="E31" s="15"/>
      <c r="F31" s="16"/>
      <c r="G31" s="17"/>
      <c r="H31" s="17"/>
      <c r="I31" s="17"/>
      <c r="J31" s="17"/>
      <c r="K31" s="18" t="str">
        <f aca="false">IF(COUNT($G31:$I31)=0,"",SUM($G31:$I31))</f>
        <v/>
      </c>
      <c r="L31" s="15"/>
      <c r="M31" s="15"/>
      <c r="N31" s="15"/>
      <c r="O31" s="13" t="str">
        <f aca="false">IF(COUNTA($A31,$E31:$J31,$L31:$N31)=0,"",IF($A31="","Add Loan UID",IF(ISNA(MATCH($A31,'Loans (reference)'!$A$2:$A$500,0)),"UID not in Loans tab",IF($E31="","Add payment no.",IF(COUNTIFS($A$2:$A$300,$A31,$E$2:$E$300,$E31)&gt;1,"Duplicate payment no.",IF($F31="","Add payment date",IF(COUNT($G31:$I31)=0,"Add an amount","Ready")))))))</f>
        <v/>
      </c>
      <c r="P31" s="19"/>
      <c r="Q31" s="20"/>
    </row>
    <row r="32" customFormat="false" ht="15" hidden="false" customHeight="false" outlineLevel="0" collapsed="false">
      <c r="A32" s="12"/>
      <c r="B32" s="13" t="str">
        <f aca="false">IF($A32="","",IFERROR(INDEX('Loans (reference)'!$B$2:$B$500,MATCH($A32,'Loans (reference)'!$A$2:$A$500,0)),"not found"))</f>
        <v/>
      </c>
      <c r="C32" s="14" t="str">
        <f aca="false">IF($A32="","",IFERROR(INDEX('Loans (reference)'!$E$2:$E$500,MATCH($A32,'Loans (reference)'!$A$2:$A$500,0)),""))</f>
        <v/>
      </c>
      <c r="D32" s="13" t="str">
        <f aca="false">IF($A32="","",IFERROR(INDEX('Loans (reference)'!$K$2:$K$500,MATCH($A32,'Loans (reference)'!$A$2:$A$500,0)),""))</f>
        <v/>
      </c>
      <c r="E32" s="15"/>
      <c r="F32" s="16"/>
      <c r="G32" s="17"/>
      <c r="H32" s="17"/>
      <c r="I32" s="17"/>
      <c r="J32" s="17"/>
      <c r="K32" s="18" t="str">
        <f aca="false">IF(COUNT($G32:$I32)=0,"",SUM($G32:$I32))</f>
        <v/>
      </c>
      <c r="L32" s="15"/>
      <c r="M32" s="15"/>
      <c r="N32" s="15"/>
      <c r="O32" s="13" t="str">
        <f aca="false">IF(COUNTA($A32,$E32:$J32,$L32:$N32)=0,"",IF($A32="","Add Loan UID",IF(ISNA(MATCH($A32,'Loans (reference)'!$A$2:$A$500,0)),"UID not in Loans tab",IF($E32="","Add payment no.",IF(COUNTIFS($A$2:$A$300,$A32,$E$2:$E$300,$E32)&gt;1,"Duplicate payment no.",IF($F32="","Add payment date",IF(COUNT($G32:$I32)=0,"Add an amount","Ready")))))))</f>
        <v/>
      </c>
      <c r="P32" s="19"/>
      <c r="Q32" s="20"/>
    </row>
    <row r="33" customFormat="false" ht="15" hidden="false" customHeight="false" outlineLevel="0" collapsed="false">
      <c r="A33" s="12"/>
      <c r="B33" s="13" t="str">
        <f aca="false">IF($A33="","",IFERROR(INDEX('Loans (reference)'!$B$2:$B$500,MATCH($A33,'Loans (reference)'!$A$2:$A$500,0)),"not found"))</f>
        <v/>
      </c>
      <c r="C33" s="14" t="str">
        <f aca="false">IF($A33="","",IFERROR(INDEX('Loans (reference)'!$E$2:$E$500,MATCH($A33,'Loans (reference)'!$A$2:$A$500,0)),""))</f>
        <v/>
      </c>
      <c r="D33" s="13" t="str">
        <f aca="false">IF($A33="","",IFERROR(INDEX('Loans (reference)'!$K$2:$K$500,MATCH($A33,'Loans (reference)'!$A$2:$A$500,0)),""))</f>
        <v/>
      </c>
      <c r="E33" s="15"/>
      <c r="F33" s="16"/>
      <c r="G33" s="17"/>
      <c r="H33" s="17"/>
      <c r="I33" s="17"/>
      <c r="J33" s="17"/>
      <c r="K33" s="18" t="str">
        <f aca="false">IF(COUNT($G33:$I33)=0,"",SUM($G33:$I33))</f>
        <v/>
      </c>
      <c r="L33" s="15"/>
      <c r="M33" s="15"/>
      <c r="N33" s="15"/>
      <c r="O33" s="13" t="str">
        <f aca="false">IF(COUNTA($A33,$E33:$J33,$L33:$N33)=0,"",IF($A33="","Add Loan UID",IF(ISNA(MATCH($A33,'Loans (reference)'!$A$2:$A$500,0)),"UID not in Loans tab",IF($E33="","Add payment no.",IF(COUNTIFS($A$2:$A$300,$A33,$E$2:$E$300,$E33)&gt;1,"Duplicate payment no.",IF($F33="","Add payment date",IF(COUNT($G33:$I33)=0,"Add an amount","Ready")))))))</f>
        <v/>
      </c>
      <c r="P33" s="19"/>
      <c r="Q33" s="20"/>
    </row>
    <row r="34" customFormat="false" ht="15" hidden="false" customHeight="false" outlineLevel="0" collapsed="false">
      <c r="A34" s="12"/>
      <c r="B34" s="13" t="str">
        <f aca="false">IF($A34="","",IFERROR(INDEX('Loans (reference)'!$B$2:$B$500,MATCH($A34,'Loans (reference)'!$A$2:$A$500,0)),"not found"))</f>
        <v/>
      </c>
      <c r="C34" s="14" t="str">
        <f aca="false">IF($A34="","",IFERROR(INDEX('Loans (reference)'!$E$2:$E$500,MATCH($A34,'Loans (reference)'!$A$2:$A$500,0)),""))</f>
        <v/>
      </c>
      <c r="D34" s="13" t="str">
        <f aca="false">IF($A34="","",IFERROR(INDEX('Loans (reference)'!$K$2:$K$500,MATCH($A34,'Loans (reference)'!$A$2:$A$500,0)),""))</f>
        <v/>
      </c>
      <c r="E34" s="15"/>
      <c r="F34" s="16"/>
      <c r="G34" s="17"/>
      <c r="H34" s="17"/>
      <c r="I34" s="17"/>
      <c r="J34" s="17"/>
      <c r="K34" s="18" t="str">
        <f aca="false">IF(COUNT($G34:$I34)=0,"",SUM($G34:$I34))</f>
        <v/>
      </c>
      <c r="L34" s="15"/>
      <c r="M34" s="15"/>
      <c r="N34" s="15"/>
      <c r="O34" s="13" t="str">
        <f aca="false">IF(COUNTA($A34,$E34:$J34,$L34:$N34)=0,"",IF($A34="","Add Loan UID",IF(ISNA(MATCH($A34,'Loans (reference)'!$A$2:$A$500,0)),"UID not in Loans tab",IF($E34="","Add payment no.",IF(COUNTIFS($A$2:$A$300,$A34,$E$2:$E$300,$E34)&gt;1,"Duplicate payment no.",IF($F34="","Add payment date",IF(COUNT($G34:$I34)=0,"Add an amount","Ready")))))))</f>
        <v/>
      </c>
      <c r="P34" s="19"/>
      <c r="Q34" s="20"/>
    </row>
    <row r="35" customFormat="false" ht="15" hidden="false" customHeight="false" outlineLevel="0" collapsed="false">
      <c r="A35" s="12"/>
      <c r="B35" s="13" t="str">
        <f aca="false">IF($A35="","",IFERROR(INDEX('Loans (reference)'!$B$2:$B$500,MATCH($A35,'Loans (reference)'!$A$2:$A$500,0)),"not found"))</f>
        <v/>
      </c>
      <c r="C35" s="14" t="str">
        <f aca="false">IF($A35="","",IFERROR(INDEX('Loans (reference)'!$E$2:$E$500,MATCH($A35,'Loans (reference)'!$A$2:$A$500,0)),""))</f>
        <v/>
      </c>
      <c r="D35" s="13" t="str">
        <f aca="false">IF($A35="","",IFERROR(INDEX('Loans (reference)'!$K$2:$K$500,MATCH($A35,'Loans (reference)'!$A$2:$A$500,0)),""))</f>
        <v/>
      </c>
      <c r="E35" s="15"/>
      <c r="F35" s="16"/>
      <c r="G35" s="17"/>
      <c r="H35" s="17"/>
      <c r="I35" s="17"/>
      <c r="J35" s="17"/>
      <c r="K35" s="18" t="str">
        <f aca="false">IF(COUNT($G35:$I35)=0,"",SUM($G35:$I35))</f>
        <v/>
      </c>
      <c r="L35" s="15"/>
      <c r="M35" s="15"/>
      <c r="N35" s="15"/>
      <c r="O35" s="13" t="str">
        <f aca="false">IF(COUNTA($A35,$E35:$J35,$L35:$N35)=0,"",IF($A35="","Add Loan UID",IF(ISNA(MATCH($A35,'Loans (reference)'!$A$2:$A$500,0)),"UID not in Loans tab",IF($E35="","Add payment no.",IF(COUNTIFS($A$2:$A$300,$A35,$E$2:$E$300,$E35)&gt;1,"Duplicate payment no.",IF($F35="","Add payment date",IF(COUNT($G35:$I35)=0,"Add an amount","Ready")))))))</f>
        <v/>
      </c>
      <c r="P35" s="19"/>
      <c r="Q35" s="20"/>
    </row>
    <row r="36" customFormat="false" ht="15" hidden="false" customHeight="false" outlineLevel="0" collapsed="false">
      <c r="A36" s="12"/>
      <c r="B36" s="13" t="str">
        <f aca="false">IF($A36="","",IFERROR(INDEX('Loans (reference)'!$B$2:$B$500,MATCH($A36,'Loans (reference)'!$A$2:$A$500,0)),"not found"))</f>
        <v/>
      </c>
      <c r="C36" s="14" t="str">
        <f aca="false">IF($A36="","",IFERROR(INDEX('Loans (reference)'!$E$2:$E$500,MATCH($A36,'Loans (reference)'!$A$2:$A$500,0)),""))</f>
        <v/>
      </c>
      <c r="D36" s="13" t="str">
        <f aca="false">IF($A36="","",IFERROR(INDEX('Loans (reference)'!$K$2:$K$500,MATCH($A36,'Loans (reference)'!$A$2:$A$500,0)),""))</f>
        <v/>
      </c>
      <c r="E36" s="15"/>
      <c r="F36" s="16"/>
      <c r="G36" s="17"/>
      <c r="H36" s="17"/>
      <c r="I36" s="17"/>
      <c r="J36" s="17"/>
      <c r="K36" s="18" t="str">
        <f aca="false">IF(COUNT($G36:$I36)=0,"",SUM($G36:$I36))</f>
        <v/>
      </c>
      <c r="L36" s="15"/>
      <c r="M36" s="15"/>
      <c r="N36" s="15"/>
      <c r="O36" s="13" t="str">
        <f aca="false">IF(COUNTA($A36,$E36:$J36,$L36:$N36)=0,"",IF($A36="","Add Loan UID",IF(ISNA(MATCH($A36,'Loans (reference)'!$A$2:$A$500,0)),"UID not in Loans tab",IF($E36="","Add payment no.",IF(COUNTIFS($A$2:$A$300,$A36,$E$2:$E$300,$E36)&gt;1,"Duplicate payment no.",IF($F36="","Add payment date",IF(COUNT($G36:$I36)=0,"Add an amount","Ready")))))))</f>
        <v/>
      </c>
      <c r="P36" s="19"/>
      <c r="Q36" s="20"/>
    </row>
    <row r="37" customFormat="false" ht="15" hidden="false" customHeight="false" outlineLevel="0" collapsed="false">
      <c r="A37" s="12"/>
      <c r="B37" s="13" t="str">
        <f aca="false">IF($A37="","",IFERROR(INDEX('Loans (reference)'!$B$2:$B$500,MATCH($A37,'Loans (reference)'!$A$2:$A$500,0)),"not found"))</f>
        <v/>
      </c>
      <c r="C37" s="14" t="str">
        <f aca="false">IF($A37="","",IFERROR(INDEX('Loans (reference)'!$E$2:$E$500,MATCH($A37,'Loans (reference)'!$A$2:$A$500,0)),""))</f>
        <v/>
      </c>
      <c r="D37" s="13" t="str">
        <f aca="false">IF($A37="","",IFERROR(INDEX('Loans (reference)'!$K$2:$K$500,MATCH($A37,'Loans (reference)'!$A$2:$A$500,0)),""))</f>
        <v/>
      </c>
      <c r="E37" s="15"/>
      <c r="F37" s="16"/>
      <c r="G37" s="17"/>
      <c r="H37" s="17"/>
      <c r="I37" s="17"/>
      <c r="J37" s="17"/>
      <c r="K37" s="18" t="str">
        <f aca="false">IF(COUNT($G37:$I37)=0,"",SUM($G37:$I37))</f>
        <v/>
      </c>
      <c r="L37" s="15"/>
      <c r="M37" s="15"/>
      <c r="N37" s="15"/>
      <c r="O37" s="13" t="str">
        <f aca="false">IF(COUNTA($A37,$E37:$J37,$L37:$N37)=0,"",IF($A37="","Add Loan UID",IF(ISNA(MATCH($A37,'Loans (reference)'!$A$2:$A$500,0)),"UID not in Loans tab",IF($E37="","Add payment no.",IF(COUNTIFS($A$2:$A$300,$A37,$E$2:$E$300,$E37)&gt;1,"Duplicate payment no.",IF($F37="","Add payment date",IF(COUNT($G37:$I37)=0,"Add an amount","Ready")))))))</f>
        <v/>
      </c>
      <c r="P37" s="19"/>
      <c r="Q37" s="20"/>
    </row>
    <row r="38" customFormat="false" ht="15" hidden="false" customHeight="false" outlineLevel="0" collapsed="false">
      <c r="A38" s="12"/>
      <c r="B38" s="13" t="str">
        <f aca="false">IF($A38="","",IFERROR(INDEX('Loans (reference)'!$B$2:$B$500,MATCH($A38,'Loans (reference)'!$A$2:$A$500,0)),"not found"))</f>
        <v/>
      </c>
      <c r="C38" s="14" t="str">
        <f aca="false">IF($A38="","",IFERROR(INDEX('Loans (reference)'!$E$2:$E$500,MATCH($A38,'Loans (reference)'!$A$2:$A$500,0)),""))</f>
        <v/>
      </c>
      <c r="D38" s="13" t="str">
        <f aca="false">IF($A38="","",IFERROR(INDEX('Loans (reference)'!$K$2:$K$500,MATCH($A38,'Loans (reference)'!$A$2:$A$500,0)),""))</f>
        <v/>
      </c>
      <c r="E38" s="15"/>
      <c r="F38" s="16"/>
      <c r="G38" s="17"/>
      <c r="H38" s="17"/>
      <c r="I38" s="17"/>
      <c r="J38" s="17"/>
      <c r="K38" s="18" t="str">
        <f aca="false">IF(COUNT($G38:$I38)=0,"",SUM($G38:$I38))</f>
        <v/>
      </c>
      <c r="L38" s="15"/>
      <c r="M38" s="15"/>
      <c r="N38" s="15"/>
      <c r="O38" s="13" t="str">
        <f aca="false">IF(COUNTA($A38,$E38:$J38,$L38:$N38)=0,"",IF($A38="","Add Loan UID",IF(ISNA(MATCH($A38,'Loans (reference)'!$A$2:$A$500,0)),"UID not in Loans tab",IF($E38="","Add payment no.",IF(COUNTIFS($A$2:$A$300,$A38,$E$2:$E$300,$E38)&gt;1,"Duplicate payment no.",IF($F38="","Add payment date",IF(COUNT($G38:$I38)=0,"Add an amount","Ready")))))))</f>
        <v/>
      </c>
      <c r="P38" s="19"/>
      <c r="Q38" s="20"/>
    </row>
    <row r="39" customFormat="false" ht="15" hidden="false" customHeight="false" outlineLevel="0" collapsed="false">
      <c r="A39" s="12"/>
      <c r="B39" s="13" t="str">
        <f aca="false">IF($A39="","",IFERROR(INDEX('Loans (reference)'!$B$2:$B$500,MATCH($A39,'Loans (reference)'!$A$2:$A$500,0)),"not found"))</f>
        <v/>
      </c>
      <c r="C39" s="14" t="str">
        <f aca="false">IF($A39="","",IFERROR(INDEX('Loans (reference)'!$E$2:$E$500,MATCH($A39,'Loans (reference)'!$A$2:$A$500,0)),""))</f>
        <v/>
      </c>
      <c r="D39" s="13" t="str">
        <f aca="false">IF($A39="","",IFERROR(INDEX('Loans (reference)'!$K$2:$K$500,MATCH($A39,'Loans (reference)'!$A$2:$A$500,0)),""))</f>
        <v/>
      </c>
      <c r="E39" s="15"/>
      <c r="F39" s="16"/>
      <c r="G39" s="17"/>
      <c r="H39" s="17"/>
      <c r="I39" s="17"/>
      <c r="J39" s="17"/>
      <c r="K39" s="18" t="str">
        <f aca="false">IF(COUNT($G39:$I39)=0,"",SUM($G39:$I39))</f>
        <v/>
      </c>
      <c r="L39" s="15"/>
      <c r="M39" s="15"/>
      <c r="N39" s="15"/>
      <c r="O39" s="13" t="str">
        <f aca="false">IF(COUNTA($A39,$E39:$J39,$L39:$N39)=0,"",IF($A39="","Add Loan UID",IF(ISNA(MATCH($A39,'Loans (reference)'!$A$2:$A$500,0)),"UID not in Loans tab",IF($E39="","Add payment no.",IF(COUNTIFS($A$2:$A$300,$A39,$E$2:$E$300,$E39)&gt;1,"Duplicate payment no.",IF($F39="","Add payment date",IF(COUNT($G39:$I39)=0,"Add an amount","Ready")))))))</f>
        <v/>
      </c>
      <c r="P39" s="19"/>
      <c r="Q39" s="20"/>
    </row>
    <row r="40" customFormat="false" ht="15" hidden="false" customHeight="false" outlineLevel="0" collapsed="false">
      <c r="A40" s="12"/>
      <c r="B40" s="13" t="str">
        <f aca="false">IF($A40="","",IFERROR(INDEX('Loans (reference)'!$B$2:$B$500,MATCH($A40,'Loans (reference)'!$A$2:$A$500,0)),"not found"))</f>
        <v/>
      </c>
      <c r="C40" s="14" t="str">
        <f aca="false">IF($A40="","",IFERROR(INDEX('Loans (reference)'!$E$2:$E$500,MATCH($A40,'Loans (reference)'!$A$2:$A$500,0)),""))</f>
        <v/>
      </c>
      <c r="D40" s="13" t="str">
        <f aca="false">IF($A40="","",IFERROR(INDEX('Loans (reference)'!$K$2:$K$500,MATCH($A40,'Loans (reference)'!$A$2:$A$500,0)),""))</f>
        <v/>
      </c>
      <c r="E40" s="15"/>
      <c r="F40" s="16"/>
      <c r="G40" s="17"/>
      <c r="H40" s="17"/>
      <c r="I40" s="17"/>
      <c r="J40" s="17"/>
      <c r="K40" s="18" t="str">
        <f aca="false">IF(COUNT($G40:$I40)=0,"",SUM($G40:$I40))</f>
        <v/>
      </c>
      <c r="L40" s="15"/>
      <c r="M40" s="15"/>
      <c r="N40" s="15"/>
      <c r="O40" s="13" t="str">
        <f aca="false">IF(COUNTA($A40,$E40:$J40,$L40:$N40)=0,"",IF($A40="","Add Loan UID",IF(ISNA(MATCH($A40,'Loans (reference)'!$A$2:$A$500,0)),"UID not in Loans tab",IF($E40="","Add payment no.",IF(COUNTIFS($A$2:$A$300,$A40,$E$2:$E$300,$E40)&gt;1,"Duplicate payment no.",IF($F40="","Add payment date",IF(COUNT($G40:$I40)=0,"Add an amount","Ready")))))))</f>
        <v/>
      </c>
      <c r="P40" s="19"/>
      <c r="Q40" s="20"/>
    </row>
    <row r="41" customFormat="false" ht="15" hidden="false" customHeight="false" outlineLevel="0" collapsed="false">
      <c r="A41" s="12"/>
      <c r="B41" s="13" t="str">
        <f aca="false">IF($A41="","",IFERROR(INDEX('Loans (reference)'!$B$2:$B$500,MATCH($A41,'Loans (reference)'!$A$2:$A$500,0)),"not found"))</f>
        <v/>
      </c>
      <c r="C41" s="14" t="str">
        <f aca="false">IF($A41="","",IFERROR(INDEX('Loans (reference)'!$E$2:$E$500,MATCH($A41,'Loans (reference)'!$A$2:$A$500,0)),""))</f>
        <v/>
      </c>
      <c r="D41" s="13" t="str">
        <f aca="false">IF($A41="","",IFERROR(INDEX('Loans (reference)'!$K$2:$K$500,MATCH($A41,'Loans (reference)'!$A$2:$A$500,0)),""))</f>
        <v/>
      </c>
      <c r="E41" s="15"/>
      <c r="F41" s="16"/>
      <c r="G41" s="17"/>
      <c r="H41" s="17"/>
      <c r="I41" s="17"/>
      <c r="J41" s="17"/>
      <c r="K41" s="18" t="str">
        <f aca="false">IF(COUNT($G41:$I41)=0,"",SUM($G41:$I41))</f>
        <v/>
      </c>
      <c r="L41" s="15"/>
      <c r="M41" s="15"/>
      <c r="N41" s="15"/>
      <c r="O41" s="13" t="str">
        <f aca="false">IF(COUNTA($A41,$E41:$J41,$L41:$N41)=0,"",IF($A41="","Add Loan UID",IF(ISNA(MATCH($A41,'Loans (reference)'!$A$2:$A$500,0)),"UID not in Loans tab",IF($E41="","Add payment no.",IF(COUNTIFS($A$2:$A$300,$A41,$E$2:$E$300,$E41)&gt;1,"Duplicate payment no.",IF($F41="","Add payment date",IF(COUNT($G41:$I41)=0,"Add an amount","Ready")))))))</f>
        <v/>
      </c>
      <c r="P41" s="19"/>
      <c r="Q41" s="20"/>
    </row>
    <row r="42" customFormat="false" ht="15" hidden="false" customHeight="false" outlineLevel="0" collapsed="false">
      <c r="A42" s="12"/>
      <c r="B42" s="13" t="str">
        <f aca="false">IF($A42="","",IFERROR(INDEX('Loans (reference)'!$B$2:$B$500,MATCH($A42,'Loans (reference)'!$A$2:$A$500,0)),"not found"))</f>
        <v/>
      </c>
      <c r="C42" s="14" t="str">
        <f aca="false">IF($A42="","",IFERROR(INDEX('Loans (reference)'!$E$2:$E$500,MATCH($A42,'Loans (reference)'!$A$2:$A$500,0)),""))</f>
        <v/>
      </c>
      <c r="D42" s="13" t="str">
        <f aca="false">IF($A42="","",IFERROR(INDEX('Loans (reference)'!$K$2:$K$500,MATCH($A42,'Loans (reference)'!$A$2:$A$500,0)),""))</f>
        <v/>
      </c>
      <c r="E42" s="15"/>
      <c r="F42" s="16"/>
      <c r="G42" s="17"/>
      <c r="H42" s="17"/>
      <c r="I42" s="17"/>
      <c r="J42" s="17"/>
      <c r="K42" s="18" t="str">
        <f aca="false">IF(COUNT($G42:$I42)=0,"",SUM($G42:$I42))</f>
        <v/>
      </c>
      <c r="L42" s="15"/>
      <c r="M42" s="15"/>
      <c r="N42" s="15"/>
      <c r="O42" s="13" t="str">
        <f aca="false">IF(COUNTA($A42,$E42:$J42,$L42:$N42)=0,"",IF($A42="","Add Loan UID",IF(ISNA(MATCH($A42,'Loans (reference)'!$A$2:$A$500,0)),"UID not in Loans tab",IF($E42="","Add payment no.",IF(COUNTIFS($A$2:$A$300,$A42,$E$2:$E$300,$E42)&gt;1,"Duplicate payment no.",IF($F42="","Add payment date",IF(COUNT($G42:$I42)=0,"Add an amount","Ready")))))))</f>
        <v/>
      </c>
      <c r="P42" s="19"/>
      <c r="Q42" s="20"/>
    </row>
    <row r="43" customFormat="false" ht="15" hidden="false" customHeight="false" outlineLevel="0" collapsed="false">
      <c r="A43" s="12"/>
      <c r="B43" s="13" t="str">
        <f aca="false">IF($A43="","",IFERROR(INDEX('Loans (reference)'!$B$2:$B$500,MATCH($A43,'Loans (reference)'!$A$2:$A$500,0)),"not found"))</f>
        <v/>
      </c>
      <c r="C43" s="14" t="str">
        <f aca="false">IF($A43="","",IFERROR(INDEX('Loans (reference)'!$E$2:$E$500,MATCH($A43,'Loans (reference)'!$A$2:$A$500,0)),""))</f>
        <v/>
      </c>
      <c r="D43" s="13" t="str">
        <f aca="false">IF($A43="","",IFERROR(INDEX('Loans (reference)'!$K$2:$K$500,MATCH($A43,'Loans (reference)'!$A$2:$A$500,0)),""))</f>
        <v/>
      </c>
      <c r="E43" s="15"/>
      <c r="F43" s="16"/>
      <c r="G43" s="17"/>
      <c r="H43" s="17"/>
      <c r="I43" s="17"/>
      <c r="J43" s="17"/>
      <c r="K43" s="18" t="str">
        <f aca="false">IF(COUNT($G43:$I43)=0,"",SUM($G43:$I43))</f>
        <v/>
      </c>
      <c r="L43" s="15"/>
      <c r="M43" s="15"/>
      <c r="N43" s="15"/>
      <c r="O43" s="13" t="str">
        <f aca="false">IF(COUNTA($A43,$E43:$J43,$L43:$N43)=0,"",IF($A43="","Add Loan UID",IF(ISNA(MATCH($A43,'Loans (reference)'!$A$2:$A$500,0)),"UID not in Loans tab",IF($E43="","Add payment no.",IF(COUNTIFS($A$2:$A$300,$A43,$E$2:$E$300,$E43)&gt;1,"Duplicate payment no.",IF($F43="","Add payment date",IF(COUNT($G43:$I43)=0,"Add an amount","Ready")))))))</f>
        <v/>
      </c>
      <c r="P43" s="19"/>
      <c r="Q43" s="20"/>
    </row>
    <row r="44" customFormat="false" ht="15" hidden="false" customHeight="false" outlineLevel="0" collapsed="false">
      <c r="A44" s="12"/>
      <c r="B44" s="13" t="str">
        <f aca="false">IF($A44="","",IFERROR(INDEX('Loans (reference)'!$B$2:$B$500,MATCH($A44,'Loans (reference)'!$A$2:$A$500,0)),"not found"))</f>
        <v/>
      </c>
      <c r="C44" s="14" t="str">
        <f aca="false">IF($A44="","",IFERROR(INDEX('Loans (reference)'!$E$2:$E$500,MATCH($A44,'Loans (reference)'!$A$2:$A$500,0)),""))</f>
        <v/>
      </c>
      <c r="D44" s="13" t="str">
        <f aca="false">IF($A44="","",IFERROR(INDEX('Loans (reference)'!$K$2:$K$500,MATCH($A44,'Loans (reference)'!$A$2:$A$500,0)),""))</f>
        <v/>
      </c>
      <c r="E44" s="15"/>
      <c r="F44" s="16"/>
      <c r="G44" s="17"/>
      <c r="H44" s="17"/>
      <c r="I44" s="17"/>
      <c r="J44" s="17"/>
      <c r="K44" s="18" t="str">
        <f aca="false">IF(COUNT($G44:$I44)=0,"",SUM($G44:$I44))</f>
        <v/>
      </c>
      <c r="L44" s="15"/>
      <c r="M44" s="15"/>
      <c r="N44" s="15"/>
      <c r="O44" s="13" t="str">
        <f aca="false">IF(COUNTA($A44,$E44:$J44,$L44:$N44)=0,"",IF($A44="","Add Loan UID",IF(ISNA(MATCH($A44,'Loans (reference)'!$A$2:$A$500,0)),"UID not in Loans tab",IF($E44="","Add payment no.",IF(COUNTIFS($A$2:$A$300,$A44,$E$2:$E$300,$E44)&gt;1,"Duplicate payment no.",IF($F44="","Add payment date",IF(COUNT($G44:$I44)=0,"Add an amount","Ready")))))))</f>
        <v/>
      </c>
      <c r="P44" s="19"/>
      <c r="Q44" s="20"/>
    </row>
    <row r="45" customFormat="false" ht="15" hidden="false" customHeight="false" outlineLevel="0" collapsed="false">
      <c r="A45" s="12"/>
      <c r="B45" s="13" t="str">
        <f aca="false">IF($A45="","",IFERROR(INDEX('Loans (reference)'!$B$2:$B$500,MATCH($A45,'Loans (reference)'!$A$2:$A$500,0)),"not found"))</f>
        <v/>
      </c>
      <c r="C45" s="14" t="str">
        <f aca="false">IF($A45="","",IFERROR(INDEX('Loans (reference)'!$E$2:$E$500,MATCH($A45,'Loans (reference)'!$A$2:$A$500,0)),""))</f>
        <v/>
      </c>
      <c r="D45" s="13" t="str">
        <f aca="false">IF($A45="","",IFERROR(INDEX('Loans (reference)'!$K$2:$K$500,MATCH($A45,'Loans (reference)'!$A$2:$A$500,0)),""))</f>
        <v/>
      </c>
      <c r="E45" s="15"/>
      <c r="F45" s="16"/>
      <c r="G45" s="17"/>
      <c r="H45" s="17"/>
      <c r="I45" s="17"/>
      <c r="J45" s="17"/>
      <c r="K45" s="18" t="str">
        <f aca="false">IF(COUNT($G45:$I45)=0,"",SUM($G45:$I45))</f>
        <v/>
      </c>
      <c r="L45" s="15"/>
      <c r="M45" s="15"/>
      <c r="N45" s="15"/>
      <c r="O45" s="13" t="str">
        <f aca="false">IF(COUNTA($A45,$E45:$J45,$L45:$N45)=0,"",IF($A45="","Add Loan UID",IF(ISNA(MATCH($A45,'Loans (reference)'!$A$2:$A$500,0)),"UID not in Loans tab",IF($E45="","Add payment no.",IF(COUNTIFS($A$2:$A$300,$A45,$E$2:$E$300,$E45)&gt;1,"Duplicate payment no.",IF($F45="","Add payment date",IF(COUNT($G45:$I45)=0,"Add an amount","Ready")))))))</f>
        <v/>
      </c>
      <c r="P45" s="19"/>
      <c r="Q45" s="20"/>
    </row>
    <row r="46" customFormat="false" ht="15" hidden="false" customHeight="false" outlineLevel="0" collapsed="false">
      <c r="A46" s="12"/>
      <c r="B46" s="13" t="str">
        <f aca="false">IF($A46="","",IFERROR(INDEX('Loans (reference)'!$B$2:$B$500,MATCH($A46,'Loans (reference)'!$A$2:$A$500,0)),"not found"))</f>
        <v/>
      </c>
      <c r="C46" s="14" t="str">
        <f aca="false">IF($A46="","",IFERROR(INDEX('Loans (reference)'!$E$2:$E$500,MATCH($A46,'Loans (reference)'!$A$2:$A$500,0)),""))</f>
        <v/>
      </c>
      <c r="D46" s="13" t="str">
        <f aca="false">IF($A46="","",IFERROR(INDEX('Loans (reference)'!$K$2:$K$500,MATCH($A46,'Loans (reference)'!$A$2:$A$500,0)),""))</f>
        <v/>
      </c>
      <c r="E46" s="15"/>
      <c r="F46" s="16"/>
      <c r="G46" s="17"/>
      <c r="H46" s="17"/>
      <c r="I46" s="17"/>
      <c r="J46" s="17"/>
      <c r="K46" s="18" t="str">
        <f aca="false">IF(COUNT($G46:$I46)=0,"",SUM($G46:$I46))</f>
        <v/>
      </c>
      <c r="L46" s="15"/>
      <c r="M46" s="15"/>
      <c r="N46" s="15"/>
      <c r="O46" s="13" t="str">
        <f aca="false">IF(COUNTA($A46,$E46:$J46,$L46:$N46)=0,"",IF($A46="","Add Loan UID",IF(ISNA(MATCH($A46,'Loans (reference)'!$A$2:$A$500,0)),"UID not in Loans tab",IF($E46="","Add payment no.",IF(COUNTIFS($A$2:$A$300,$A46,$E$2:$E$300,$E46)&gt;1,"Duplicate payment no.",IF($F46="","Add payment date",IF(COUNT($G46:$I46)=0,"Add an amount","Ready")))))))</f>
        <v/>
      </c>
      <c r="P46" s="19"/>
      <c r="Q46" s="20"/>
    </row>
    <row r="47" customFormat="false" ht="15" hidden="false" customHeight="false" outlineLevel="0" collapsed="false">
      <c r="A47" s="12"/>
      <c r="B47" s="13" t="str">
        <f aca="false">IF($A47="","",IFERROR(INDEX('Loans (reference)'!$B$2:$B$500,MATCH($A47,'Loans (reference)'!$A$2:$A$500,0)),"not found"))</f>
        <v/>
      </c>
      <c r="C47" s="14" t="str">
        <f aca="false">IF($A47="","",IFERROR(INDEX('Loans (reference)'!$E$2:$E$500,MATCH($A47,'Loans (reference)'!$A$2:$A$500,0)),""))</f>
        <v/>
      </c>
      <c r="D47" s="13" t="str">
        <f aca="false">IF($A47="","",IFERROR(INDEX('Loans (reference)'!$K$2:$K$500,MATCH($A47,'Loans (reference)'!$A$2:$A$500,0)),""))</f>
        <v/>
      </c>
      <c r="E47" s="15"/>
      <c r="F47" s="16"/>
      <c r="G47" s="17"/>
      <c r="H47" s="17"/>
      <c r="I47" s="17"/>
      <c r="J47" s="17"/>
      <c r="K47" s="18" t="str">
        <f aca="false">IF(COUNT($G47:$I47)=0,"",SUM($G47:$I47))</f>
        <v/>
      </c>
      <c r="L47" s="15"/>
      <c r="M47" s="15"/>
      <c r="N47" s="15"/>
      <c r="O47" s="13" t="str">
        <f aca="false">IF(COUNTA($A47,$E47:$J47,$L47:$N47)=0,"",IF($A47="","Add Loan UID",IF(ISNA(MATCH($A47,'Loans (reference)'!$A$2:$A$500,0)),"UID not in Loans tab",IF($E47="","Add payment no.",IF(COUNTIFS($A$2:$A$300,$A47,$E$2:$E$300,$E47)&gt;1,"Duplicate payment no.",IF($F47="","Add payment date",IF(COUNT($G47:$I47)=0,"Add an amount","Ready")))))))</f>
        <v/>
      </c>
      <c r="P47" s="19"/>
      <c r="Q47" s="20"/>
    </row>
    <row r="48" customFormat="false" ht="15" hidden="false" customHeight="false" outlineLevel="0" collapsed="false">
      <c r="A48" s="12"/>
      <c r="B48" s="13" t="str">
        <f aca="false">IF($A48="","",IFERROR(INDEX('Loans (reference)'!$B$2:$B$500,MATCH($A48,'Loans (reference)'!$A$2:$A$500,0)),"not found"))</f>
        <v/>
      </c>
      <c r="C48" s="14" t="str">
        <f aca="false">IF($A48="","",IFERROR(INDEX('Loans (reference)'!$E$2:$E$500,MATCH($A48,'Loans (reference)'!$A$2:$A$500,0)),""))</f>
        <v/>
      </c>
      <c r="D48" s="13" t="str">
        <f aca="false">IF($A48="","",IFERROR(INDEX('Loans (reference)'!$K$2:$K$500,MATCH($A48,'Loans (reference)'!$A$2:$A$500,0)),""))</f>
        <v/>
      </c>
      <c r="E48" s="15"/>
      <c r="F48" s="16"/>
      <c r="G48" s="17"/>
      <c r="H48" s="17"/>
      <c r="I48" s="17"/>
      <c r="J48" s="17"/>
      <c r="K48" s="18" t="str">
        <f aca="false">IF(COUNT($G48:$I48)=0,"",SUM($G48:$I48))</f>
        <v/>
      </c>
      <c r="L48" s="15"/>
      <c r="M48" s="15"/>
      <c r="N48" s="15"/>
      <c r="O48" s="13" t="str">
        <f aca="false">IF(COUNTA($A48,$E48:$J48,$L48:$N48)=0,"",IF($A48="","Add Loan UID",IF(ISNA(MATCH($A48,'Loans (reference)'!$A$2:$A$500,0)),"UID not in Loans tab",IF($E48="","Add payment no.",IF(COUNTIFS($A$2:$A$300,$A48,$E$2:$E$300,$E48)&gt;1,"Duplicate payment no.",IF($F48="","Add payment date",IF(COUNT($G48:$I48)=0,"Add an amount","Ready")))))))</f>
        <v/>
      </c>
      <c r="P48" s="19"/>
      <c r="Q48" s="20"/>
    </row>
    <row r="49" customFormat="false" ht="15" hidden="false" customHeight="false" outlineLevel="0" collapsed="false">
      <c r="A49" s="12"/>
      <c r="B49" s="13" t="str">
        <f aca="false">IF($A49="","",IFERROR(INDEX('Loans (reference)'!$B$2:$B$500,MATCH($A49,'Loans (reference)'!$A$2:$A$500,0)),"not found"))</f>
        <v/>
      </c>
      <c r="C49" s="14" t="str">
        <f aca="false">IF($A49="","",IFERROR(INDEX('Loans (reference)'!$E$2:$E$500,MATCH($A49,'Loans (reference)'!$A$2:$A$500,0)),""))</f>
        <v/>
      </c>
      <c r="D49" s="13" t="str">
        <f aca="false">IF($A49="","",IFERROR(INDEX('Loans (reference)'!$K$2:$K$500,MATCH($A49,'Loans (reference)'!$A$2:$A$500,0)),""))</f>
        <v/>
      </c>
      <c r="E49" s="15"/>
      <c r="F49" s="16"/>
      <c r="G49" s="17"/>
      <c r="H49" s="17"/>
      <c r="I49" s="17"/>
      <c r="J49" s="17"/>
      <c r="K49" s="18" t="str">
        <f aca="false">IF(COUNT($G49:$I49)=0,"",SUM($G49:$I49))</f>
        <v/>
      </c>
      <c r="L49" s="15"/>
      <c r="M49" s="15"/>
      <c r="N49" s="15"/>
      <c r="O49" s="13" t="str">
        <f aca="false">IF(COUNTA($A49,$E49:$J49,$L49:$N49)=0,"",IF($A49="","Add Loan UID",IF(ISNA(MATCH($A49,'Loans (reference)'!$A$2:$A$500,0)),"UID not in Loans tab",IF($E49="","Add payment no.",IF(COUNTIFS($A$2:$A$300,$A49,$E$2:$E$300,$E49)&gt;1,"Duplicate payment no.",IF($F49="","Add payment date",IF(COUNT($G49:$I49)=0,"Add an amount","Ready")))))))</f>
        <v/>
      </c>
      <c r="P49" s="19"/>
      <c r="Q49" s="20"/>
    </row>
    <row r="50" customFormat="false" ht="15" hidden="false" customHeight="false" outlineLevel="0" collapsed="false">
      <c r="A50" s="12"/>
      <c r="B50" s="13" t="str">
        <f aca="false">IF($A50="","",IFERROR(INDEX('Loans (reference)'!$B$2:$B$500,MATCH($A50,'Loans (reference)'!$A$2:$A$500,0)),"not found"))</f>
        <v/>
      </c>
      <c r="C50" s="14" t="str">
        <f aca="false">IF($A50="","",IFERROR(INDEX('Loans (reference)'!$E$2:$E$500,MATCH($A50,'Loans (reference)'!$A$2:$A$500,0)),""))</f>
        <v/>
      </c>
      <c r="D50" s="13" t="str">
        <f aca="false">IF($A50="","",IFERROR(INDEX('Loans (reference)'!$K$2:$K$500,MATCH($A50,'Loans (reference)'!$A$2:$A$500,0)),""))</f>
        <v/>
      </c>
      <c r="E50" s="15"/>
      <c r="F50" s="16"/>
      <c r="G50" s="17"/>
      <c r="H50" s="17"/>
      <c r="I50" s="17"/>
      <c r="J50" s="17"/>
      <c r="K50" s="18" t="str">
        <f aca="false">IF(COUNT($G50:$I50)=0,"",SUM($G50:$I50))</f>
        <v/>
      </c>
      <c r="L50" s="15"/>
      <c r="M50" s="15"/>
      <c r="N50" s="15"/>
      <c r="O50" s="13" t="str">
        <f aca="false">IF(COUNTA($A50,$E50:$J50,$L50:$N50)=0,"",IF($A50="","Add Loan UID",IF(ISNA(MATCH($A50,'Loans (reference)'!$A$2:$A$500,0)),"UID not in Loans tab",IF($E50="","Add payment no.",IF(COUNTIFS($A$2:$A$300,$A50,$E$2:$E$300,$E50)&gt;1,"Duplicate payment no.",IF($F50="","Add payment date",IF(COUNT($G50:$I50)=0,"Add an amount","Ready")))))))</f>
        <v/>
      </c>
      <c r="P50" s="19"/>
      <c r="Q50" s="20"/>
    </row>
    <row r="51" customFormat="false" ht="15" hidden="false" customHeight="false" outlineLevel="0" collapsed="false">
      <c r="A51" s="12"/>
      <c r="B51" s="13" t="str">
        <f aca="false">IF($A51="","",IFERROR(INDEX('Loans (reference)'!$B$2:$B$500,MATCH($A51,'Loans (reference)'!$A$2:$A$500,0)),"not found"))</f>
        <v/>
      </c>
      <c r="C51" s="14" t="str">
        <f aca="false">IF($A51="","",IFERROR(INDEX('Loans (reference)'!$E$2:$E$500,MATCH($A51,'Loans (reference)'!$A$2:$A$500,0)),""))</f>
        <v/>
      </c>
      <c r="D51" s="13" t="str">
        <f aca="false">IF($A51="","",IFERROR(INDEX('Loans (reference)'!$K$2:$K$500,MATCH($A51,'Loans (reference)'!$A$2:$A$500,0)),""))</f>
        <v/>
      </c>
      <c r="E51" s="15"/>
      <c r="F51" s="16"/>
      <c r="G51" s="17"/>
      <c r="H51" s="17"/>
      <c r="I51" s="17"/>
      <c r="J51" s="17"/>
      <c r="K51" s="18" t="str">
        <f aca="false">IF(COUNT($G51:$I51)=0,"",SUM($G51:$I51))</f>
        <v/>
      </c>
      <c r="L51" s="15"/>
      <c r="M51" s="15"/>
      <c r="N51" s="15"/>
      <c r="O51" s="13" t="str">
        <f aca="false">IF(COUNTA($A51,$E51:$J51,$L51:$N51)=0,"",IF($A51="","Add Loan UID",IF(ISNA(MATCH($A51,'Loans (reference)'!$A$2:$A$500,0)),"UID not in Loans tab",IF($E51="","Add payment no.",IF(COUNTIFS($A$2:$A$300,$A51,$E$2:$E$300,$E51)&gt;1,"Duplicate payment no.",IF($F51="","Add payment date",IF(COUNT($G51:$I51)=0,"Add an amount","Ready")))))))</f>
        <v/>
      </c>
      <c r="P51" s="19"/>
      <c r="Q51" s="20"/>
    </row>
    <row r="52" customFormat="false" ht="15" hidden="false" customHeight="false" outlineLevel="0" collapsed="false">
      <c r="A52" s="12"/>
      <c r="B52" s="13" t="str">
        <f aca="false">IF($A52="","",IFERROR(INDEX('Loans (reference)'!$B$2:$B$500,MATCH($A52,'Loans (reference)'!$A$2:$A$500,0)),"not found"))</f>
        <v/>
      </c>
      <c r="C52" s="14" t="str">
        <f aca="false">IF($A52="","",IFERROR(INDEX('Loans (reference)'!$E$2:$E$500,MATCH($A52,'Loans (reference)'!$A$2:$A$500,0)),""))</f>
        <v/>
      </c>
      <c r="D52" s="13" t="str">
        <f aca="false">IF($A52="","",IFERROR(INDEX('Loans (reference)'!$K$2:$K$500,MATCH($A52,'Loans (reference)'!$A$2:$A$500,0)),""))</f>
        <v/>
      </c>
      <c r="E52" s="15"/>
      <c r="F52" s="16"/>
      <c r="G52" s="17"/>
      <c r="H52" s="17"/>
      <c r="I52" s="17"/>
      <c r="J52" s="17"/>
      <c r="K52" s="18" t="str">
        <f aca="false">IF(COUNT($G52:$I52)=0,"",SUM($G52:$I52))</f>
        <v/>
      </c>
      <c r="L52" s="15"/>
      <c r="M52" s="15"/>
      <c r="N52" s="15"/>
      <c r="O52" s="13" t="str">
        <f aca="false">IF(COUNTA($A52,$E52:$J52,$L52:$N52)=0,"",IF($A52="","Add Loan UID",IF(ISNA(MATCH($A52,'Loans (reference)'!$A$2:$A$500,0)),"UID not in Loans tab",IF($E52="","Add payment no.",IF(COUNTIFS($A$2:$A$300,$A52,$E$2:$E$300,$E52)&gt;1,"Duplicate payment no.",IF($F52="","Add payment date",IF(COUNT($G52:$I52)=0,"Add an amount","Ready")))))))</f>
        <v/>
      </c>
      <c r="P52" s="19"/>
      <c r="Q52" s="20"/>
    </row>
    <row r="53" customFormat="false" ht="15" hidden="false" customHeight="false" outlineLevel="0" collapsed="false">
      <c r="A53" s="12"/>
      <c r="B53" s="13" t="str">
        <f aca="false">IF($A53="","",IFERROR(INDEX('Loans (reference)'!$B$2:$B$500,MATCH($A53,'Loans (reference)'!$A$2:$A$500,0)),"not found"))</f>
        <v/>
      </c>
      <c r="C53" s="14" t="str">
        <f aca="false">IF($A53="","",IFERROR(INDEX('Loans (reference)'!$E$2:$E$500,MATCH($A53,'Loans (reference)'!$A$2:$A$500,0)),""))</f>
        <v/>
      </c>
      <c r="D53" s="13" t="str">
        <f aca="false">IF($A53="","",IFERROR(INDEX('Loans (reference)'!$K$2:$K$500,MATCH($A53,'Loans (reference)'!$A$2:$A$500,0)),""))</f>
        <v/>
      </c>
      <c r="E53" s="15"/>
      <c r="F53" s="16"/>
      <c r="G53" s="17"/>
      <c r="H53" s="17"/>
      <c r="I53" s="17"/>
      <c r="J53" s="17"/>
      <c r="K53" s="18" t="str">
        <f aca="false">IF(COUNT($G53:$I53)=0,"",SUM($G53:$I53))</f>
        <v/>
      </c>
      <c r="L53" s="15"/>
      <c r="M53" s="15"/>
      <c r="N53" s="15"/>
      <c r="O53" s="13" t="str">
        <f aca="false">IF(COUNTA($A53,$E53:$J53,$L53:$N53)=0,"",IF($A53="","Add Loan UID",IF(ISNA(MATCH($A53,'Loans (reference)'!$A$2:$A$500,0)),"UID not in Loans tab",IF($E53="","Add payment no.",IF(COUNTIFS($A$2:$A$300,$A53,$E$2:$E$300,$E53)&gt;1,"Duplicate payment no.",IF($F53="","Add payment date",IF(COUNT($G53:$I53)=0,"Add an amount","Ready")))))))</f>
        <v/>
      </c>
      <c r="P53" s="19"/>
      <c r="Q53" s="20"/>
    </row>
    <row r="54" customFormat="false" ht="15" hidden="false" customHeight="false" outlineLevel="0" collapsed="false">
      <c r="A54" s="12"/>
      <c r="B54" s="13" t="str">
        <f aca="false">IF($A54="","",IFERROR(INDEX('Loans (reference)'!$B$2:$B$500,MATCH($A54,'Loans (reference)'!$A$2:$A$500,0)),"not found"))</f>
        <v/>
      </c>
      <c r="C54" s="14" t="str">
        <f aca="false">IF($A54="","",IFERROR(INDEX('Loans (reference)'!$E$2:$E$500,MATCH($A54,'Loans (reference)'!$A$2:$A$500,0)),""))</f>
        <v/>
      </c>
      <c r="D54" s="13" t="str">
        <f aca="false">IF($A54="","",IFERROR(INDEX('Loans (reference)'!$K$2:$K$500,MATCH($A54,'Loans (reference)'!$A$2:$A$500,0)),""))</f>
        <v/>
      </c>
      <c r="E54" s="15"/>
      <c r="F54" s="16"/>
      <c r="G54" s="17"/>
      <c r="H54" s="17"/>
      <c r="I54" s="17"/>
      <c r="J54" s="17"/>
      <c r="K54" s="18" t="str">
        <f aca="false">IF(COUNT($G54:$I54)=0,"",SUM($G54:$I54))</f>
        <v/>
      </c>
      <c r="L54" s="15"/>
      <c r="M54" s="15"/>
      <c r="N54" s="15"/>
      <c r="O54" s="13" t="str">
        <f aca="false">IF(COUNTA($A54,$E54:$J54,$L54:$N54)=0,"",IF($A54="","Add Loan UID",IF(ISNA(MATCH($A54,'Loans (reference)'!$A$2:$A$500,0)),"UID not in Loans tab",IF($E54="","Add payment no.",IF(COUNTIFS($A$2:$A$300,$A54,$E$2:$E$300,$E54)&gt;1,"Duplicate payment no.",IF($F54="","Add payment date",IF(COUNT($G54:$I54)=0,"Add an amount","Ready")))))))</f>
        <v/>
      </c>
      <c r="P54" s="19"/>
      <c r="Q54" s="20"/>
    </row>
    <row r="55" customFormat="false" ht="15" hidden="false" customHeight="false" outlineLevel="0" collapsed="false">
      <c r="A55" s="12"/>
      <c r="B55" s="13" t="str">
        <f aca="false">IF($A55="","",IFERROR(INDEX('Loans (reference)'!$B$2:$B$500,MATCH($A55,'Loans (reference)'!$A$2:$A$500,0)),"not found"))</f>
        <v/>
      </c>
      <c r="C55" s="14" t="str">
        <f aca="false">IF($A55="","",IFERROR(INDEX('Loans (reference)'!$E$2:$E$500,MATCH($A55,'Loans (reference)'!$A$2:$A$500,0)),""))</f>
        <v/>
      </c>
      <c r="D55" s="13" t="str">
        <f aca="false">IF($A55="","",IFERROR(INDEX('Loans (reference)'!$K$2:$K$500,MATCH($A55,'Loans (reference)'!$A$2:$A$500,0)),""))</f>
        <v/>
      </c>
      <c r="E55" s="15"/>
      <c r="F55" s="16"/>
      <c r="G55" s="17"/>
      <c r="H55" s="17"/>
      <c r="I55" s="17"/>
      <c r="J55" s="17"/>
      <c r="K55" s="18" t="str">
        <f aca="false">IF(COUNT($G55:$I55)=0,"",SUM($G55:$I55))</f>
        <v/>
      </c>
      <c r="L55" s="15"/>
      <c r="M55" s="15"/>
      <c r="N55" s="15"/>
      <c r="O55" s="13" t="str">
        <f aca="false">IF(COUNTA($A55,$E55:$J55,$L55:$N55)=0,"",IF($A55="","Add Loan UID",IF(ISNA(MATCH($A55,'Loans (reference)'!$A$2:$A$500,0)),"UID not in Loans tab",IF($E55="","Add payment no.",IF(COUNTIFS($A$2:$A$300,$A55,$E$2:$E$300,$E55)&gt;1,"Duplicate payment no.",IF($F55="","Add payment date",IF(COUNT($G55:$I55)=0,"Add an amount","Ready")))))))</f>
        <v/>
      </c>
      <c r="P55" s="19"/>
      <c r="Q55" s="20"/>
    </row>
    <row r="56" customFormat="false" ht="15" hidden="false" customHeight="false" outlineLevel="0" collapsed="false">
      <c r="A56" s="12"/>
      <c r="B56" s="13" t="str">
        <f aca="false">IF($A56="","",IFERROR(INDEX('Loans (reference)'!$B$2:$B$500,MATCH($A56,'Loans (reference)'!$A$2:$A$500,0)),"not found"))</f>
        <v/>
      </c>
      <c r="C56" s="14" t="str">
        <f aca="false">IF($A56="","",IFERROR(INDEX('Loans (reference)'!$E$2:$E$500,MATCH($A56,'Loans (reference)'!$A$2:$A$500,0)),""))</f>
        <v/>
      </c>
      <c r="D56" s="13" t="str">
        <f aca="false">IF($A56="","",IFERROR(INDEX('Loans (reference)'!$K$2:$K$500,MATCH($A56,'Loans (reference)'!$A$2:$A$500,0)),""))</f>
        <v/>
      </c>
      <c r="E56" s="15"/>
      <c r="F56" s="16"/>
      <c r="G56" s="17"/>
      <c r="H56" s="17"/>
      <c r="I56" s="17"/>
      <c r="J56" s="17"/>
      <c r="K56" s="18" t="str">
        <f aca="false">IF(COUNT($G56:$I56)=0,"",SUM($G56:$I56))</f>
        <v/>
      </c>
      <c r="L56" s="15"/>
      <c r="M56" s="15"/>
      <c r="N56" s="15"/>
      <c r="O56" s="13" t="str">
        <f aca="false">IF(COUNTA($A56,$E56:$J56,$L56:$N56)=0,"",IF($A56="","Add Loan UID",IF(ISNA(MATCH($A56,'Loans (reference)'!$A$2:$A$500,0)),"UID not in Loans tab",IF($E56="","Add payment no.",IF(COUNTIFS($A$2:$A$300,$A56,$E$2:$E$300,$E56)&gt;1,"Duplicate payment no.",IF($F56="","Add payment date",IF(COUNT($G56:$I56)=0,"Add an amount","Ready")))))))</f>
        <v/>
      </c>
      <c r="P56" s="19"/>
      <c r="Q56" s="20"/>
    </row>
    <row r="57" customFormat="false" ht="15" hidden="false" customHeight="false" outlineLevel="0" collapsed="false">
      <c r="A57" s="12"/>
      <c r="B57" s="13" t="str">
        <f aca="false">IF($A57="","",IFERROR(INDEX('Loans (reference)'!$B$2:$B$500,MATCH($A57,'Loans (reference)'!$A$2:$A$500,0)),"not found"))</f>
        <v/>
      </c>
      <c r="C57" s="14" t="str">
        <f aca="false">IF($A57="","",IFERROR(INDEX('Loans (reference)'!$E$2:$E$500,MATCH($A57,'Loans (reference)'!$A$2:$A$500,0)),""))</f>
        <v/>
      </c>
      <c r="D57" s="13" t="str">
        <f aca="false">IF($A57="","",IFERROR(INDEX('Loans (reference)'!$K$2:$K$500,MATCH($A57,'Loans (reference)'!$A$2:$A$500,0)),""))</f>
        <v/>
      </c>
      <c r="E57" s="15"/>
      <c r="F57" s="16"/>
      <c r="G57" s="17"/>
      <c r="H57" s="17"/>
      <c r="I57" s="17"/>
      <c r="J57" s="17"/>
      <c r="K57" s="18" t="str">
        <f aca="false">IF(COUNT($G57:$I57)=0,"",SUM($G57:$I57))</f>
        <v/>
      </c>
      <c r="L57" s="15"/>
      <c r="M57" s="15"/>
      <c r="N57" s="15"/>
      <c r="O57" s="13" t="str">
        <f aca="false">IF(COUNTA($A57,$E57:$J57,$L57:$N57)=0,"",IF($A57="","Add Loan UID",IF(ISNA(MATCH($A57,'Loans (reference)'!$A$2:$A$500,0)),"UID not in Loans tab",IF($E57="","Add payment no.",IF(COUNTIFS($A$2:$A$300,$A57,$E$2:$E$300,$E57)&gt;1,"Duplicate payment no.",IF($F57="","Add payment date",IF(COUNT($G57:$I57)=0,"Add an amount","Ready")))))))</f>
        <v/>
      </c>
      <c r="P57" s="19"/>
      <c r="Q57" s="20"/>
    </row>
    <row r="58" customFormat="false" ht="15" hidden="false" customHeight="false" outlineLevel="0" collapsed="false">
      <c r="A58" s="12"/>
      <c r="B58" s="13" t="str">
        <f aca="false">IF($A58="","",IFERROR(INDEX('Loans (reference)'!$B$2:$B$500,MATCH($A58,'Loans (reference)'!$A$2:$A$500,0)),"not found"))</f>
        <v/>
      </c>
      <c r="C58" s="14" t="str">
        <f aca="false">IF($A58="","",IFERROR(INDEX('Loans (reference)'!$E$2:$E$500,MATCH($A58,'Loans (reference)'!$A$2:$A$500,0)),""))</f>
        <v/>
      </c>
      <c r="D58" s="13" t="str">
        <f aca="false">IF($A58="","",IFERROR(INDEX('Loans (reference)'!$K$2:$K$500,MATCH($A58,'Loans (reference)'!$A$2:$A$500,0)),""))</f>
        <v/>
      </c>
      <c r="E58" s="15"/>
      <c r="F58" s="16"/>
      <c r="G58" s="17"/>
      <c r="H58" s="17"/>
      <c r="I58" s="17"/>
      <c r="J58" s="17"/>
      <c r="K58" s="18" t="str">
        <f aca="false">IF(COUNT($G58:$I58)=0,"",SUM($G58:$I58))</f>
        <v/>
      </c>
      <c r="L58" s="15"/>
      <c r="M58" s="15"/>
      <c r="N58" s="15"/>
      <c r="O58" s="13" t="str">
        <f aca="false">IF(COUNTA($A58,$E58:$J58,$L58:$N58)=0,"",IF($A58="","Add Loan UID",IF(ISNA(MATCH($A58,'Loans (reference)'!$A$2:$A$500,0)),"UID not in Loans tab",IF($E58="","Add payment no.",IF(COUNTIFS($A$2:$A$300,$A58,$E$2:$E$300,$E58)&gt;1,"Duplicate payment no.",IF($F58="","Add payment date",IF(COUNT($G58:$I58)=0,"Add an amount","Ready")))))))</f>
        <v/>
      </c>
      <c r="P58" s="19"/>
      <c r="Q58" s="20"/>
    </row>
    <row r="59" customFormat="false" ht="15" hidden="false" customHeight="false" outlineLevel="0" collapsed="false">
      <c r="A59" s="12"/>
      <c r="B59" s="13" t="str">
        <f aca="false">IF($A59="","",IFERROR(INDEX('Loans (reference)'!$B$2:$B$500,MATCH($A59,'Loans (reference)'!$A$2:$A$500,0)),"not found"))</f>
        <v/>
      </c>
      <c r="C59" s="14" t="str">
        <f aca="false">IF($A59="","",IFERROR(INDEX('Loans (reference)'!$E$2:$E$500,MATCH($A59,'Loans (reference)'!$A$2:$A$500,0)),""))</f>
        <v/>
      </c>
      <c r="D59" s="13" t="str">
        <f aca="false">IF($A59="","",IFERROR(INDEX('Loans (reference)'!$K$2:$K$500,MATCH($A59,'Loans (reference)'!$A$2:$A$500,0)),""))</f>
        <v/>
      </c>
      <c r="E59" s="15"/>
      <c r="F59" s="16"/>
      <c r="G59" s="17"/>
      <c r="H59" s="17"/>
      <c r="I59" s="17"/>
      <c r="J59" s="17"/>
      <c r="K59" s="18" t="str">
        <f aca="false">IF(COUNT($G59:$I59)=0,"",SUM($G59:$I59))</f>
        <v/>
      </c>
      <c r="L59" s="15"/>
      <c r="M59" s="15"/>
      <c r="N59" s="15"/>
      <c r="O59" s="13" t="str">
        <f aca="false">IF(COUNTA($A59,$E59:$J59,$L59:$N59)=0,"",IF($A59="","Add Loan UID",IF(ISNA(MATCH($A59,'Loans (reference)'!$A$2:$A$500,0)),"UID not in Loans tab",IF($E59="","Add payment no.",IF(COUNTIFS($A$2:$A$300,$A59,$E$2:$E$300,$E59)&gt;1,"Duplicate payment no.",IF($F59="","Add payment date",IF(COUNT($G59:$I59)=0,"Add an amount","Ready")))))))</f>
        <v/>
      </c>
      <c r="P59" s="19"/>
      <c r="Q59" s="20"/>
    </row>
    <row r="60" customFormat="false" ht="15" hidden="false" customHeight="false" outlineLevel="0" collapsed="false">
      <c r="A60" s="12"/>
      <c r="B60" s="13" t="str">
        <f aca="false">IF($A60="","",IFERROR(INDEX('Loans (reference)'!$B$2:$B$500,MATCH($A60,'Loans (reference)'!$A$2:$A$500,0)),"not found"))</f>
        <v/>
      </c>
      <c r="C60" s="14" t="str">
        <f aca="false">IF($A60="","",IFERROR(INDEX('Loans (reference)'!$E$2:$E$500,MATCH($A60,'Loans (reference)'!$A$2:$A$500,0)),""))</f>
        <v/>
      </c>
      <c r="D60" s="13" t="str">
        <f aca="false">IF($A60="","",IFERROR(INDEX('Loans (reference)'!$K$2:$K$500,MATCH($A60,'Loans (reference)'!$A$2:$A$500,0)),""))</f>
        <v/>
      </c>
      <c r="E60" s="15"/>
      <c r="F60" s="16"/>
      <c r="G60" s="17"/>
      <c r="H60" s="17"/>
      <c r="I60" s="17"/>
      <c r="J60" s="17"/>
      <c r="K60" s="18" t="str">
        <f aca="false">IF(COUNT($G60:$I60)=0,"",SUM($G60:$I60))</f>
        <v/>
      </c>
      <c r="L60" s="15"/>
      <c r="M60" s="15"/>
      <c r="N60" s="15"/>
      <c r="O60" s="13" t="str">
        <f aca="false">IF(COUNTA($A60,$E60:$J60,$L60:$N60)=0,"",IF($A60="","Add Loan UID",IF(ISNA(MATCH($A60,'Loans (reference)'!$A$2:$A$500,0)),"UID not in Loans tab",IF($E60="","Add payment no.",IF(COUNTIFS($A$2:$A$300,$A60,$E$2:$E$300,$E60)&gt;1,"Duplicate payment no.",IF($F60="","Add payment date",IF(COUNT($G60:$I60)=0,"Add an amount","Ready")))))))</f>
        <v/>
      </c>
      <c r="P60" s="19"/>
      <c r="Q60" s="20"/>
    </row>
    <row r="61" customFormat="false" ht="15" hidden="false" customHeight="false" outlineLevel="0" collapsed="false">
      <c r="A61" s="12"/>
      <c r="B61" s="13" t="str">
        <f aca="false">IF($A61="","",IFERROR(INDEX('Loans (reference)'!$B$2:$B$500,MATCH($A61,'Loans (reference)'!$A$2:$A$500,0)),"not found"))</f>
        <v/>
      </c>
      <c r="C61" s="14" t="str">
        <f aca="false">IF($A61="","",IFERROR(INDEX('Loans (reference)'!$E$2:$E$500,MATCH($A61,'Loans (reference)'!$A$2:$A$500,0)),""))</f>
        <v/>
      </c>
      <c r="D61" s="13" t="str">
        <f aca="false">IF($A61="","",IFERROR(INDEX('Loans (reference)'!$K$2:$K$500,MATCH($A61,'Loans (reference)'!$A$2:$A$500,0)),""))</f>
        <v/>
      </c>
      <c r="E61" s="15"/>
      <c r="F61" s="16"/>
      <c r="G61" s="17"/>
      <c r="H61" s="17"/>
      <c r="I61" s="17"/>
      <c r="J61" s="17"/>
      <c r="K61" s="18" t="str">
        <f aca="false">IF(COUNT($G61:$I61)=0,"",SUM($G61:$I61))</f>
        <v/>
      </c>
      <c r="L61" s="15"/>
      <c r="M61" s="15"/>
      <c r="N61" s="15"/>
      <c r="O61" s="13" t="str">
        <f aca="false">IF(COUNTA($A61,$E61:$J61,$L61:$N61)=0,"",IF($A61="","Add Loan UID",IF(ISNA(MATCH($A61,'Loans (reference)'!$A$2:$A$500,0)),"UID not in Loans tab",IF($E61="","Add payment no.",IF(COUNTIFS($A$2:$A$300,$A61,$E$2:$E$300,$E61)&gt;1,"Duplicate payment no.",IF($F61="","Add payment date",IF(COUNT($G61:$I61)=0,"Add an amount","Ready")))))))</f>
        <v/>
      </c>
      <c r="P61" s="19"/>
      <c r="Q61" s="20"/>
    </row>
    <row r="62" customFormat="false" ht="15" hidden="false" customHeight="false" outlineLevel="0" collapsed="false">
      <c r="A62" s="12"/>
      <c r="B62" s="13" t="str">
        <f aca="false">IF($A62="","",IFERROR(INDEX('Loans (reference)'!$B$2:$B$500,MATCH($A62,'Loans (reference)'!$A$2:$A$500,0)),"not found"))</f>
        <v/>
      </c>
      <c r="C62" s="14" t="str">
        <f aca="false">IF($A62="","",IFERROR(INDEX('Loans (reference)'!$E$2:$E$500,MATCH($A62,'Loans (reference)'!$A$2:$A$500,0)),""))</f>
        <v/>
      </c>
      <c r="D62" s="13" t="str">
        <f aca="false">IF($A62="","",IFERROR(INDEX('Loans (reference)'!$K$2:$K$500,MATCH($A62,'Loans (reference)'!$A$2:$A$500,0)),""))</f>
        <v/>
      </c>
      <c r="E62" s="15"/>
      <c r="F62" s="16"/>
      <c r="G62" s="17"/>
      <c r="H62" s="17"/>
      <c r="I62" s="17"/>
      <c r="J62" s="17"/>
      <c r="K62" s="18" t="str">
        <f aca="false">IF(COUNT($G62:$I62)=0,"",SUM($G62:$I62))</f>
        <v/>
      </c>
      <c r="L62" s="15"/>
      <c r="M62" s="15"/>
      <c r="N62" s="15"/>
      <c r="O62" s="13" t="str">
        <f aca="false">IF(COUNTA($A62,$E62:$J62,$L62:$N62)=0,"",IF($A62="","Add Loan UID",IF(ISNA(MATCH($A62,'Loans (reference)'!$A$2:$A$500,0)),"UID not in Loans tab",IF($E62="","Add payment no.",IF(COUNTIFS($A$2:$A$300,$A62,$E$2:$E$300,$E62)&gt;1,"Duplicate payment no.",IF($F62="","Add payment date",IF(COUNT($G62:$I62)=0,"Add an amount","Ready")))))))</f>
        <v/>
      </c>
      <c r="P62" s="19"/>
      <c r="Q62" s="20"/>
    </row>
    <row r="63" customFormat="false" ht="15" hidden="false" customHeight="false" outlineLevel="0" collapsed="false">
      <c r="A63" s="12"/>
      <c r="B63" s="13" t="str">
        <f aca="false">IF($A63="","",IFERROR(INDEX('Loans (reference)'!$B$2:$B$500,MATCH($A63,'Loans (reference)'!$A$2:$A$500,0)),"not found"))</f>
        <v/>
      </c>
      <c r="C63" s="14" t="str">
        <f aca="false">IF($A63="","",IFERROR(INDEX('Loans (reference)'!$E$2:$E$500,MATCH($A63,'Loans (reference)'!$A$2:$A$500,0)),""))</f>
        <v/>
      </c>
      <c r="D63" s="13" t="str">
        <f aca="false">IF($A63="","",IFERROR(INDEX('Loans (reference)'!$K$2:$K$500,MATCH($A63,'Loans (reference)'!$A$2:$A$500,0)),""))</f>
        <v/>
      </c>
      <c r="E63" s="15"/>
      <c r="F63" s="16"/>
      <c r="G63" s="17"/>
      <c r="H63" s="17"/>
      <c r="I63" s="17"/>
      <c r="J63" s="17"/>
      <c r="K63" s="18" t="str">
        <f aca="false">IF(COUNT($G63:$I63)=0,"",SUM($G63:$I63))</f>
        <v/>
      </c>
      <c r="L63" s="15"/>
      <c r="M63" s="15"/>
      <c r="N63" s="15"/>
      <c r="O63" s="13" t="str">
        <f aca="false">IF(COUNTA($A63,$E63:$J63,$L63:$N63)=0,"",IF($A63="","Add Loan UID",IF(ISNA(MATCH($A63,'Loans (reference)'!$A$2:$A$500,0)),"UID not in Loans tab",IF($E63="","Add payment no.",IF(COUNTIFS($A$2:$A$300,$A63,$E$2:$E$300,$E63)&gt;1,"Duplicate payment no.",IF($F63="","Add payment date",IF(COUNT($G63:$I63)=0,"Add an amount","Ready")))))))</f>
        <v/>
      </c>
      <c r="P63" s="19"/>
      <c r="Q63" s="20"/>
    </row>
    <row r="64" customFormat="false" ht="15" hidden="false" customHeight="false" outlineLevel="0" collapsed="false">
      <c r="A64" s="12"/>
      <c r="B64" s="13" t="str">
        <f aca="false">IF($A64="","",IFERROR(INDEX('Loans (reference)'!$B$2:$B$500,MATCH($A64,'Loans (reference)'!$A$2:$A$500,0)),"not found"))</f>
        <v/>
      </c>
      <c r="C64" s="14" t="str">
        <f aca="false">IF($A64="","",IFERROR(INDEX('Loans (reference)'!$E$2:$E$500,MATCH($A64,'Loans (reference)'!$A$2:$A$500,0)),""))</f>
        <v/>
      </c>
      <c r="D64" s="13" t="str">
        <f aca="false">IF($A64="","",IFERROR(INDEX('Loans (reference)'!$K$2:$K$500,MATCH($A64,'Loans (reference)'!$A$2:$A$500,0)),""))</f>
        <v/>
      </c>
      <c r="E64" s="15"/>
      <c r="F64" s="16"/>
      <c r="G64" s="17"/>
      <c r="H64" s="17"/>
      <c r="I64" s="17"/>
      <c r="J64" s="17"/>
      <c r="K64" s="18" t="str">
        <f aca="false">IF(COUNT($G64:$I64)=0,"",SUM($G64:$I64))</f>
        <v/>
      </c>
      <c r="L64" s="15"/>
      <c r="M64" s="15"/>
      <c r="N64" s="15"/>
      <c r="O64" s="13" t="str">
        <f aca="false">IF(COUNTA($A64,$E64:$J64,$L64:$N64)=0,"",IF($A64="","Add Loan UID",IF(ISNA(MATCH($A64,'Loans (reference)'!$A$2:$A$500,0)),"UID not in Loans tab",IF($E64="","Add payment no.",IF(COUNTIFS($A$2:$A$300,$A64,$E$2:$E$300,$E64)&gt;1,"Duplicate payment no.",IF($F64="","Add payment date",IF(COUNT($G64:$I64)=0,"Add an amount","Ready")))))))</f>
        <v/>
      </c>
      <c r="P64" s="19"/>
      <c r="Q64" s="20"/>
    </row>
    <row r="65" customFormat="false" ht="15" hidden="false" customHeight="false" outlineLevel="0" collapsed="false">
      <c r="A65" s="12"/>
      <c r="B65" s="13" t="str">
        <f aca="false">IF($A65="","",IFERROR(INDEX('Loans (reference)'!$B$2:$B$500,MATCH($A65,'Loans (reference)'!$A$2:$A$500,0)),"not found"))</f>
        <v/>
      </c>
      <c r="C65" s="14" t="str">
        <f aca="false">IF($A65="","",IFERROR(INDEX('Loans (reference)'!$E$2:$E$500,MATCH($A65,'Loans (reference)'!$A$2:$A$500,0)),""))</f>
        <v/>
      </c>
      <c r="D65" s="13" t="str">
        <f aca="false">IF($A65="","",IFERROR(INDEX('Loans (reference)'!$K$2:$K$500,MATCH($A65,'Loans (reference)'!$A$2:$A$500,0)),""))</f>
        <v/>
      </c>
      <c r="E65" s="15"/>
      <c r="F65" s="16"/>
      <c r="G65" s="17"/>
      <c r="H65" s="17"/>
      <c r="I65" s="17"/>
      <c r="J65" s="17"/>
      <c r="K65" s="18" t="str">
        <f aca="false">IF(COUNT($G65:$I65)=0,"",SUM($G65:$I65))</f>
        <v/>
      </c>
      <c r="L65" s="15"/>
      <c r="M65" s="15"/>
      <c r="N65" s="15"/>
      <c r="O65" s="13" t="str">
        <f aca="false">IF(COUNTA($A65,$E65:$J65,$L65:$N65)=0,"",IF($A65="","Add Loan UID",IF(ISNA(MATCH($A65,'Loans (reference)'!$A$2:$A$500,0)),"UID not in Loans tab",IF($E65="","Add payment no.",IF(COUNTIFS($A$2:$A$300,$A65,$E$2:$E$300,$E65)&gt;1,"Duplicate payment no.",IF($F65="","Add payment date",IF(COUNT($G65:$I65)=0,"Add an amount","Ready")))))))</f>
        <v/>
      </c>
      <c r="P65" s="19"/>
      <c r="Q65" s="20"/>
    </row>
    <row r="66" customFormat="false" ht="15" hidden="false" customHeight="false" outlineLevel="0" collapsed="false">
      <c r="A66" s="12"/>
      <c r="B66" s="13" t="str">
        <f aca="false">IF($A66="","",IFERROR(INDEX('Loans (reference)'!$B$2:$B$500,MATCH($A66,'Loans (reference)'!$A$2:$A$500,0)),"not found"))</f>
        <v/>
      </c>
      <c r="C66" s="14" t="str">
        <f aca="false">IF($A66="","",IFERROR(INDEX('Loans (reference)'!$E$2:$E$500,MATCH($A66,'Loans (reference)'!$A$2:$A$500,0)),""))</f>
        <v/>
      </c>
      <c r="D66" s="13" t="str">
        <f aca="false">IF($A66="","",IFERROR(INDEX('Loans (reference)'!$K$2:$K$500,MATCH($A66,'Loans (reference)'!$A$2:$A$500,0)),""))</f>
        <v/>
      </c>
      <c r="E66" s="15"/>
      <c r="F66" s="16"/>
      <c r="G66" s="17"/>
      <c r="H66" s="17"/>
      <c r="I66" s="17"/>
      <c r="J66" s="17"/>
      <c r="K66" s="18" t="str">
        <f aca="false">IF(COUNT($G66:$I66)=0,"",SUM($G66:$I66))</f>
        <v/>
      </c>
      <c r="L66" s="15"/>
      <c r="M66" s="15"/>
      <c r="N66" s="15"/>
      <c r="O66" s="13" t="str">
        <f aca="false">IF(COUNTA($A66,$E66:$J66,$L66:$N66)=0,"",IF($A66="","Add Loan UID",IF(ISNA(MATCH($A66,'Loans (reference)'!$A$2:$A$500,0)),"UID not in Loans tab",IF($E66="","Add payment no.",IF(COUNTIFS($A$2:$A$300,$A66,$E$2:$E$300,$E66)&gt;1,"Duplicate payment no.",IF($F66="","Add payment date",IF(COUNT($G66:$I66)=0,"Add an amount","Ready")))))))</f>
        <v/>
      </c>
      <c r="P66" s="19"/>
      <c r="Q66" s="20"/>
    </row>
    <row r="67" customFormat="false" ht="15" hidden="false" customHeight="false" outlineLevel="0" collapsed="false">
      <c r="A67" s="12"/>
      <c r="B67" s="13" t="str">
        <f aca="false">IF($A67="","",IFERROR(INDEX('Loans (reference)'!$B$2:$B$500,MATCH($A67,'Loans (reference)'!$A$2:$A$500,0)),"not found"))</f>
        <v/>
      </c>
      <c r="C67" s="14" t="str">
        <f aca="false">IF($A67="","",IFERROR(INDEX('Loans (reference)'!$E$2:$E$500,MATCH($A67,'Loans (reference)'!$A$2:$A$500,0)),""))</f>
        <v/>
      </c>
      <c r="D67" s="13" t="str">
        <f aca="false">IF($A67="","",IFERROR(INDEX('Loans (reference)'!$K$2:$K$500,MATCH($A67,'Loans (reference)'!$A$2:$A$500,0)),""))</f>
        <v/>
      </c>
      <c r="E67" s="15"/>
      <c r="F67" s="16"/>
      <c r="G67" s="17"/>
      <c r="H67" s="17"/>
      <c r="I67" s="17"/>
      <c r="J67" s="17"/>
      <c r="K67" s="18" t="str">
        <f aca="false">IF(COUNT($G67:$I67)=0,"",SUM($G67:$I67))</f>
        <v/>
      </c>
      <c r="L67" s="15"/>
      <c r="M67" s="15"/>
      <c r="N67" s="15"/>
      <c r="O67" s="13" t="str">
        <f aca="false">IF(COUNTA($A67,$E67:$J67,$L67:$N67)=0,"",IF($A67="","Add Loan UID",IF(ISNA(MATCH($A67,'Loans (reference)'!$A$2:$A$500,0)),"UID not in Loans tab",IF($E67="","Add payment no.",IF(COUNTIFS($A$2:$A$300,$A67,$E$2:$E$300,$E67)&gt;1,"Duplicate payment no.",IF($F67="","Add payment date",IF(COUNT($G67:$I67)=0,"Add an amount","Ready")))))))</f>
        <v/>
      </c>
      <c r="P67" s="19"/>
      <c r="Q67" s="20"/>
    </row>
    <row r="68" customFormat="false" ht="15" hidden="false" customHeight="false" outlineLevel="0" collapsed="false">
      <c r="A68" s="12"/>
      <c r="B68" s="13" t="str">
        <f aca="false">IF($A68="","",IFERROR(INDEX('Loans (reference)'!$B$2:$B$500,MATCH($A68,'Loans (reference)'!$A$2:$A$500,0)),"not found"))</f>
        <v/>
      </c>
      <c r="C68" s="14" t="str">
        <f aca="false">IF($A68="","",IFERROR(INDEX('Loans (reference)'!$E$2:$E$500,MATCH($A68,'Loans (reference)'!$A$2:$A$500,0)),""))</f>
        <v/>
      </c>
      <c r="D68" s="13" t="str">
        <f aca="false">IF($A68="","",IFERROR(INDEX('Loans (reference)'!$K$2:$K$500,MATCH($A68,'Loans (reference)'!$A$2:$A$500,0)),""))</f>
        <v/>
      </c>
      <c r="E68" s="15"/>
      <c r="F68" s="16"/>
      <c r="G68" s="17"/>
      <c r="H68" s="17"/>
      <c r="I68" s="17"/>
      <c r="J68" s="17"/>
      <c r="K68" s="18" t="str">
        <f aca="false">IF(COUNT($G68:$I68)=0,"",SUM($G68:$I68))</f>
        <v/>
      </c>
      <c r="L68" s="15"/>
      <c r="M68" s="15"/>
      <c r="N68" s="15"/>
      <c r="O68" s="13" t="str">
        <f aca="false">IF(COUNTA($A68,$E68:$J68,$L68:$N68)=0,"",IF($A68="","Add Loan UID",IF(ISNA(MATCH($A68,'Loans (reference)'!$A$2:$A$500,0)),"UID not in Loans tab",IF($E68="","Add payment no.",IF(COUNTIFS($A$2:$A$300,$A68,$E$2:$E$300,$E68)&gt;1,"Duplicate payment no.",IF($F68="","Add payment date",IF(COUNT($G68:$I68)=0,"Add an amount","Ready")))))))</f>
        <v/>
      </c>
      <c r="P68" s="19"/>
      <c r="Q68" s="20"/>
    </row>
    <row r="69" customFormat="false" ht="15" hidden="false" customHeight="false" outlineLevel="0" collapsed="false">
      <c r="A69" s="12"/>
      <c r="B69" s="13" t="str">
        <f aca="false">IF($A69="","",IFERROR(INDEX('Loans (reference)'!$B$2:$B$500,MATCH($A69,'Loans (reference)'!$A$2:$A$500,0)),"not found"))</f>
        <v/>
      </c>
      <c r="C69" s="14" t="str">
        <f aca="false">IF($A69="","",IFERROR(INDEX('Loans (reference)'!$E$2:$E$500,MATCH($A69,'Loans (reference)'!$A$2:$A$500,0)),""))</f>
        <v/>
      </c>
      <c r="D69" s="13" t="str">
        <f aca="false">IF($A69="","",IFERROR(INDEX('Loans (reference)'!$K$2:$K$500,MATCH($A69,'Loans (reference)'!$A$2:$A$500,0)),""))</f>
        <v/>
      </c>
      <c r="E69" s="15"/>
      <c r="F69" s="16"/>
      <c r="G69" s="17"/>
      <c r="H69" s="17"/>
      <c r="I69" s="17"/>
      <c r="J69" s="17"/>
      <c r="K69" s="18" t="str">
        <f aca="false">IF(COUNT($G69:$I69)=0,"",SUM($G69:$I69))</f>
        <v/>
      </c>
      <c r="L69" s="15"/>
      <c r="M69" s="15"/>
      <c r="N69" s="15"/>
      <c r="O69" s="13" t="str">
        <f aca="false">IF(COUNTA($A69,$E69:$J69,$L69:$N69)=0,"",IF($A69="","Add Loan UID",IF(ISNA(MATCH($A69,'Loans (reference)'!$A$2:$A$500,0)),"UID not in Loans tab",IF($E69="","Add payment no.",IF(COUNTIFS($A$2:$A$300,$A69,$E$2:$E$300,$E69)&gt;1,"Duplicate payment no.",IF($F69="","Add payment date",IF(COUNT($G69:$I69)=0,"Add an amount","Ready")))))))</f>
        <v/>
      </c>
      <c r="P69" s="19"/>
      <c r="Q69" s="20"/>
    </row>
    <row r="70" customFormat="false" ht="15" hidden="false" customHeight="false" outlineLevel="0" collapsed="false">
      <c r="A70" s="12"/>
      <c r="B70" s="13" t="str">
        <f aca="false">IF($A70="","",IFERROR(INDEX('Loans (reference)'!$B$2:$B$500,MATCH($A70,'Loans (reference)'!$A$2:$A$500,0)),"not found"))</f>
        <v/>
      </c>
      <c r="C70" s="14" t="str">
        <f aca="false">IF($A70="","",IFERROR(INDEX('Loans (reference)'!$E$2:$E$500,MATCH($A70,'Loans (reference)'!$A$2:$A$500,0)),""))</f>
        <v/>
      </c>
      <c r="D70" s="13" t="str">
        <f aca="false">IF($A70="","",IFERROR(INDEX('Loans (reference)'!$K$2:$K$500,MATCH($A70,'Loans (reference)'!$A$2:$A$500,0)),""))</f>
        <v/>
      </c>
      <c r="E70" s="15"/>
      <c r="F70" s="16"/>
      <c r="G70" s="17"/>
      <c r="H70" s="17"/>
      <c r="I70" s="17"/>
      <c r="J70" s="17"/>
      <c r="K70" s="18" t="str">
        <f aca="false">IF(COUNT($G70:$I70)=0,"",SUM($G70:$I70))</f>
        <v/>
      </c>
      <c r="L70" s="15"/>
      <c r="M70" s="15"/>
      <c r="N70" s="15"/>
      <c r="O70" s="13" t="str">
        <f aca="false">IF(COUNTA($A70,$E70:$J70,$L70:$N70)=0,"",IF($A70="","Add Loan UID",IF(ISNA(MATCH($A70,'Loans (reference)'!$A$2:$A$500,0)),"UID not in Loans tab",IF($E70="","Add payment no.",IF(COUNTIFS($A$2:$A$300,$A70,$E$2:$E$300,$E70)&gt;1,"Duplicate payment no.",IF($F70="","Add payment date",IF(COUNT($G70:$I70)=0,"Add an amount","Ready")))))))</f>
        <v/>
      </c>
      <c r="P70" s="19"/>
      <c r="Q70" s="20"/>
    </row>
    <row r="71" customFormat="false" ht="15" hidden="false" customHeight="false" outlineLevel="0" collapsed="false">
      <c r="A71" s="12"/>
      <c r="B71" s="13" t="str">
        <f aca="false">IF($A71="","",IFERROR(INDEX('Loans (reference)'!$B$2:$B$500,MATCH($A71,'Loans (reference)'!$A$2:$A$500,0)),"not found"))</f>
        <v/>
      </c>
      <c r="C71" s="14" t="str">
        <f aca="false">IF($A71="","",IFERROR(INDEX('Loans (reference)'!$E$2:$E$500,MATCH($A71,'Loans (reference)'!$A$2:$A$500,0)),""))</f>
        <v/>
      </c>
      <c r="D71" s="13" t="str">
        <f aca="false">IF($A71="","",IFERROR(INDEX('Loans (reference)'!$K$2:$K$500,MATCH($A71,'Loans (reference)'!$A$2:$A$500,0)),""))</f>
        <v/>
      </c>
      <c r="E71" s="15"/>
      <c r="F71" s="16"/>
      <c r="G71" s="17"/>
      <c r="H71" s="17"/>
      <c r="I71" s="17"/>
      <c r="J71" s="17"/>
      <c r="K71" s="18" t="str">
        <f aca="false">IF(COUNT($G71:$I71)=0,"",SUM($G71:$I71))</f>
        <v/>
      </c>
      <c r="L71" s="15"/>
      <c r="M71" s="15"/>
      <c r="N71" s="15"/>
      <c r="O71" s="13" t="str">
        <f aca="false">IF(COUNTA($A71,$E71:$J71,$L71:$N71)=0,"",IF($A71="","Add Loan UID",IF(ISNA(MATCH($A71,'Loans (reference)'!$A$2:$A$500,0)),"UID not in Loans tab",IF($E71="","Add payment no.",IF(COUNTIFS($A$2:$A$300,$A71,$E$2:$E$300,$E71)&gt;1,"Duplicate payment no.",IF($F71="","Add payment date",IF(COUNT($G71:$I71)=0,"Add an amount","Ready")))))))</f>
        <v/>
      </c>
      <c r="P71" s="19"/>
      <c r="Q71" s="20"/>
    </row>
    <row r="72" customFormat="false" ht="15" hidden="false" customHeight="false" outlineLevel="0" collapsed="false">
      <c r="A72" s="12"/>
      <c r="B72" s="13" t="str">
        <f aca="false">IF($A72="","",IFERROR(INDEX('Loans (reference)'!$B$2:$B$500,MATCH($A72,'Loans (reference)'!$A$2:$A$500,0)),"not found"))</f>
        <v/>
      </c>
      <c r="C72" s="14" t="str">
        <f aca="false">IF($A72="","",IFERROR(INDEX('Loans (reference)'!$E$2:$E$500,MATCH($A72,'Loans (reference)'!$A$2:$A$500,0)),""))</f>
        <v/>
      </c>
      <c r="D72" s="13" t="str">
        <f aca="false">IF($A72="","",IFERROR(INDEX('Loans (reference)'!$K$2:$K$500,MATCH($A72,'Loans (reference)'!$A$2:$A$500,0)),""))</f>
        <v/>
      </c>
      <c r="E72" s="15"/>
      <c r="F72" s="16"/>
      <c r="G72" s="17"/>
      <c r="H72" s="17"/>
      <c r="I72" s="17"/>
      <c r="J72" s="17"/>
      <c r="K72" s="18" t="str">
        <f aca="false">IF(COUNT($G72:$I72)=0,"",SUM($G72:$I72))</f>
        <v/>
      </c>
      <c r="L72" s="15"/>
      <c r="M72" s="15"/>
      <c r="N72" s="15"/>
      <c r="O72" s="13" t="str">
        <f aca="false">IF(COUNTA($A72,$E72:$J72,$L72:$N72)=0,"",IF($A72="","Add Loan UID",IF(ISNA(MATCH($A72,'Loans (reference)'!$A$2:$A$500,0)),"UID not in Loans tab",IF($E72="","Add payment no.",IF(COUNTIFS($A$2:$A$300,$A72,$E$2:$E$300,$E72)&gt;1,"Duplicate payment no.",IF($F72="","Add payment date",IF(COUNT($G72:$I72)=0,"Add an amount","Ready")))))))</f>
        <v/>
      </c>
      <c r="P72" s="19"/>
      <c r="Q72" s="20"/>
    </row>
    <row r="73" customFormat="false" ht="15" hidden="false" customHeight="false" outlineLevel="0" collapsed="false">
      <c r="A73" s="12"/>
      <c r="B73" s="13" t="str">
        <f aca="false">IF($A73="","",IFERROR(INDEX('Loans (reference)'!$B$2:$B$500,MATCH($A73,'Loans (reference)'!$A$2:$A$500,0)),"not found"))</f>
        <v/>
      </c>
      <c r="C73" s="14" t="str">
        <f aca="false">IF($A73="","",IFERROR(INDEX('Loans (reference)'!$E$2:$E$500,MATCH($A73,'Loans (reference)'!$A$2:$A$500,0)),""))</f>
        <v/>
      </c>
      <c r="D73" s="13" t="str">
        <f aca="false">IF($A73="","",IFERROR(INDEX('Loans (reference)'!$K$2:$K$500,MATCH($A73,'Loans (reference)'!$A$2:$A$500,0)),""))</f>
        <v/>
      </c>
      <c r="E73" s="15"/>
      <c r="F73" s="16"/>
      <c r="G73" s="17"/>
      <c r="H73" s="17"/>
      <c r="I73" s="17"/>
      <c r="J73" s="17"/>
      <c r="K73" s="18" t="str">
        <f aca="false">IF(COUNT($G73:$I73)=0,"",SUM($G73:$I73))</f>
        <v/>
      </c>
      <c r="L73" s="15"/>
      <c r="M73" s="15"/>
      <c r="N73" s="15"/>
      <c r="O73" s="13" t="str">
        <f aca="false">IF(COUNTA($A73,$E73:$J73,$L73:$N73)=0,"",IF($A73="","Add Loan UID",IF(ISNA(MATCH($A73,'Loans (reference)'!$A$2:$A$500,0)),"UID not in Loans tab",IF($E73="","Add payment no.",IF(COUNTIFS($A$2:$A$300,$A73,$E$2:$E$300,$E73)&gt;1,"Duplicate payment no.",IF($F73="","Add payment date",IF(COUNT($G73:$I73)=0,"Add an amount","Ready")))))))</f>
        <v/>
      </c>
      <c r="P73" s="19"/>
      <c r="Q73" s="20"/>
    </row>
    <row r="74" customFormat="false" ht="15" hidden="false" customHeight="false" outlineLevel="0" collapsed="false">
      <c r="A74" s="12"/>
      <c r="B74" s="13" t="str">
        <f aca="false">IF($A74="","",IFERROR(INDEX('Loans (reference)'!$B$2:$B$500,MATCH($A74,'Loans (reference)'!$A$2:$A$500,0)),"not found"))</f>
        <v/>
      </c>
      <c r="C74" s="14" t="str">
        <f aca="false">IF($A74="","",IFERROR(INDEX('Loans (reference)'!$E$2:$E$500,MATCH($A74,'Loans (reference)'!$A$2:$A$500,0)),""))</f>
        <v/>
      </c>
      <c r="D74" s="13" t="str">
        <f aca="false">IF($A74="","",IFERROR(INDEX('Loans (reference)'!$K$2:$K$500,MATCH($A74,'Loans (reference)'!$A$2:$A$500,0)),""))</f>
        <v/>
      </c>
      <c r="E74" s="15"/>
      <c r="F74" s="16"/>
      <c r="G74" s="17"/>
      <c r="H74" s="17"/>
      <c r="I74" s="17"/>
      <c r="J74" s="17"/>
      <c r="K74" s="18" t="str">
        <f aca="false">IF(COUNT($G74:$I74)=0,"",SUM($G74:$I74))</f>
        <v/>
      </c>
      <c r="L74" s="15"/>
      <c r="M74" s="15"/>
      <c r="N74" s="15"/>
      <c r="O74" s="13" t="str">
        <f aca="false">IF(COUNTA($A74,$E74:$J74,$L74:$N74)=0,"",IF($A74="","Add Loan UID",IF(ISNA(MATCH($A74,'Loans (reference)'!$A$2:$A$500,0)),"UID not in Loans tab",IF($E74="","Add payment no.",IF(COUNTIFS($A$2:$A$300,$A74,$E$2:$E$300,$E74)&gt;1,"Duplicate payment no.",IF($F74="","Add payment date",IF(COUNT($G74:$I74)=0,"Add an amount","Ready")))))))</f>
        <v/>
      </c>
      <c r="P74" s="19"/>
      <c r="Q74" s="20"/>
    </row>
    <row r="75" customFormat="false" ht="15" hidden="false" customHeight="false" outlineLevel="0" collapsed="false">
      <c r="A75" s="12"/>
      <c r="B75" s="13" t="str">
        <f aca="false">IF($A75="","",IFERROR(INDEX('Loans (reference)'!$B$2:$B$500,MATCH($A75,'Loans (reference)'!$A$2:$A$500,0)),"not found"))</f>
        <v/>
      </c>
      <c r="C75" s="14" t="str">
        <f aca="false">IF($A75="","",IFERROR(INDEX('Loans (reference)'!$E$2:$E$500,MATCH($A75,'Loans (reference)'!$A$2:$A$500,0)),""))</f>
        <v/>
      </c>
      <c r="D75" s="13" t="str">
        <f aca="false">IF($A75="","",IFERROR(INDEX('Loans (reference)'!$K$2:$K$500,MATCH($A75,'Loans (reference)'!$A$2:$A$500,0)),""))</f>
        <v/>
      </c>
      <c r="E75" s="15"/>
      <c r="F75" s="16"/>
      <c r="G75" s="17"/>
      <c r="H75" s="17"/>
      <c r="I75" s="17"/>
      <c r="J75" s="17"/>
      <c r="K75" s="18" t="str">
        <f aca="false">IF(COUNT($G75:$I75)=0,"",SUM($G75:$I75))</f>
        <v/>
      </c>
      <c r="L75" s="15"/>
      <c r="M75" s="15"/>
      <c r="N75" s="15"/>
      <c r="O75" s="13" t="str">
        <f aca="false">IF(COUNTA($A75,$E75:$J75,$L75:$N75)=0,"",IF($A75="","Add Loan UID",IF(ISNA(MATCH($A75,'Loans (reference)'!$A$2:$A$500,0)),"UID not in Loans tab",IF($E75="","Add payment no.",IF(COUNTIFS($A$2:$A$300,$A75,$E$2:$E$300,$E75)&gt;1,"Duplicate payment no.",IF($F75="","Add payment date",IF(COUNT($G75:$I75)=0,"Add an amount","Ready")))))))</f>
        <v/>
      </c>
      <c r="P75" s="19"/>
      <c r="Q75" s="20"/>
    </row>
    <row r="76" customFormat="false" ht="15" hidden="false" customHeight="false" outlineLevel="0" collapsed="false">
      <c r="A76" s="12"/>
      <c r="B76" s="13" t="str">
        <f aca="false">IF($A76="","",IFERROR(INDEX('Loans (reference)'!$B$2:$B$500,MATCH($A76,'Loans (reference)'!$A$2:$A$500,0)),"not found"))</f>
        <v/>
      </c>
      <c r="C76" s="14" t="str">
        <f aca="false">IF($A76="","",IFERROR(INDEX('Loans (reference)'!$E$2:$E$500,MATCH($A76,'Loans (reference)'!$A$2:$A$500,0)),""))</f>
        <v/>
      </c>
      <c r="D76" s="13" t="str">
        <f aca="false">IF($A76="","",IFERROR(INDEX('Loans (reference)'!$K$2:$K$500,MATCH($A76,'Loans (reference)'!$A$2:$A$500,0)),""))</f>
        <v/>
      </c>
      <c r="E76" s="15"/>
      <c r="F76" s="16"/>
      <c r="G76" s="17"/>
      <c r="H76" s="17"/>
      <c r="I76" s="17"/>
      <c r="J76" s="17"/>
      <c r="K76" s="18" t="str">
        <f aca="false">IF(COUNT($G76:$I76)=0,"",SUM($G76:$I76))</f>
        <v/>
      </c>
      <c r="L76" s="15"/>
      <c r="M76" s="15"/>
      <c r="N76" s="15"/>
      <c r="O76" s="13" t="str">
        <f aca="false">IF(COUNTA($A76,$E76:$J76,$L76:$N76)=0,"",IF($A76="","Add Loan UID",IF(ISNA(MATCH($A76,'Loans (reference)'!$A$2:$A$500,0)),"UID not in Loans tab",IF($E76="","Add payment no.",IF(COUNTIFS($A$2:$A$300,$A76,$E$2:$E$300,$E76)&gt;1,"Duplicate payment no.",IF($F76="","Add payment date",IF(COUNT($G76:$I76)=0,"Add an amount","Ready")))))))</f>
        <v/>
      </c>
      <c r="P76" s="19"/>
      <c r="Q76" s="20"/>
    </row>
    <row r="77" customFormat="false" ht="15" hidden="false" customHeight="false" outlineLevel="0" collapsed="false">
      <c r="A77" s="12"/>
      <c r="B77" s="13" t="str">
        <f aca="false">IF($A77="","",IFERROR(INDEX('Loans (reference)'!$B$2:$B$500,MATCH($A77,'Loans (reference)'!$A$2:$A$500,0)),"not found"))</f>
        <v/>
      </c>
      <c r="C77" s="14" t="str">
        <f aca="false">IF($A77="","",IFERROR(INDEX('Loans (reference)'!$E$2:$E$500,MATCH($A77,'Loans (reference)'!$A$2:$A$500,0)),""))</f>
        <v/>
      </c>
      <c r="D77" s="13" t="str">
        <f aca="false">IF($A77="","",IFERROR(INDEX('Loans (reference)'!$K$2:$K$500,MATCH($A77,'Loans (reference)'!$A$2:$A$500,0)),""))</f>
        <v/>
      </c>
      <c r="E77" s="15"/>
      <c r="F77" s="16"/>
      <c r="G77" s="17"/>
      <c r="H77" s="17"/>
      <c r="I77" s="17"/>
      <c r="J77" s="17"/>
      <c r="K77" s="18" t="str">
        <f aca="false">IF(COUNT($G77:$I77)=0,"",SUM($G77:$I77))</f>
        <v/>
      </c>
      <c r="L77" s="15"/>
      <c r="M77" s="15"/>
      <c r="N77" s="15"/>
      <c r="O77" s="13" t="str">
        <f aca="false">IF(COUNTA($A77,$E77:$J77,$L77:$N77)=0,"",IF($A77="","Add Loan UID",IF(ISNA(MATCH($A77,'Loans (reference)'!$A$2:$A$500,0)),"UID not in Loans tab",IF($E77="","Add payment no.",IF(COUNTIFS($A$2:$A$300,$A77,$E$2:$E$300,$E77)&gt;1,"Duplicate payment no.",IF($F77="","Add payment date",IF(COUNT($G77:$I77)=0,"Add an amount","Ready")))))))</f>
        <v/>
      </c>
      <c r="P77" s="19"/>
      <c r="Q77" s="20"/>
    </row>
    <row r="78" customFormat="false" ht="15" hidden="false" customHeight="false" outlineLevel="0" collapsed="false">
      <c r="A78" s="12"/>
      <c r="B78" s="13" t="str">
        <f aca="false">IF($A78="","",IFERROR(INDEX('Loans (reference)'!$B$2:$B$500,MATCH($A78,'Loans (reference)'!$A$2:$A$500,0)),"not found"))</f>
        <v/>
      </c>
      <c r="C78" s="14" t="str">
        <f aca="false">IF($A78="","",IFERROR(INDEX('Loans (reference)'!$E$2:$E$500,MATCH($A78,'Loans (reference)'!$A$2:$A$500,0)),""))</f>
        <v/>
      </c>
      <c r="D78" s="13" t="str">
        <f aca="false">IF($A78="","",IFERROR(INDEX('Loans (reference)'!$K$2:$K$500,MATCH($A78,'Loans (reference)'!$A$2:$A$500,0)),""))</f>
        <v/>
      </c>
      <c r="E78" s="15"/>
      <c r="F78" s="16"/>
      <c r="G78" s="17"/>
      <c r="H78" s="17"/>
      <c r="I78" s="17"/>
      <c r="J78" s="17"/>
      <c r="K78" s="18" t="str">
        <f aca="false">IF(COUNT($G78:$I78)=0,"",SUM($G78:$I78))</f>
        <v/>
      </c>
      <c r="L78" s="15"/>
      <c r="M78" s="15"/>
      <c r="N78" s="15"/>
      <c r="O78" s="13" t="str">
        <f aca="false">IF(COUNTA($A78,$E78:$J78,$L78:$N78)=0,"",IF($A78="","Add Loan UID",IF(ISNA(MATCH($A78,'Loans (reference)'!$A$2:$A$500,0)),"UID not in Loans tab",IF($E78="","Add payment no.",IF(COUNTIFS($A$2:$A$300,$A78,$E$2:$E$300,$E78)&gt;1,"Duplicate payment no.",IF($F78="","Add payment date",IF(COUNT($G78:$I78)=0,"Add an amount","Ready")))))))</f>
        <v/>
      </c>
      <c r="P78" s="19"/>
      <c r="Q78" s="20"/>
    </row>
    <row r="79" customFormat="false" ht="15" hidden="false" customHeight="false" outlineLevel="0" collapsed="false">
      <c r="A79" s="12"/>
      <c r="B79" s="13" t="str">
        <f aca="false">IF($A79="","",IFERROR(INDEX('Loans (reference)'!$B$2:$B$500,MATCH($A79,'Loans (reference)'!$A$2:$A$500,0)),"not found"))</f>
        <v/>
      </c>
      <c r="C79" s="14" t="str">
        <f aca="false">IF($A79="","",IFERROR(INDEX('Loans (reference)'!$E$2:$E$500,MATCH($A79,'Loans (reference)'!$A$2:$A$500,0)),""))</f>
        <v/>
      </c>
      <c r="D79" s="13" t="str">
        <f aca="false">IF($A79="","",IFERROR(INDEX('Loans (reference)'!$K$2:$K$500,MATCH($A79,'Loans (reference)'!$A$2:$A$500,0)),""))</f>
        <v/>
      </c>
      <c r="E79" s="15"/>
      <c r="F79" s="16"/>
      <c r="G79" s="17"/>
      <c r="H79" s="17"/>
      <c r="I79" s="17"/>
      <c r="J79" s="17"/>
      <c r="K79" s="18" t="str">
        <f aca="false">IF(COUNT($G79:$I79)=0,"",SUM($G79:$I79))</f>
        <v/>
      </c>
      <c r="L79" s="15"/>
      <c r="M79" s="15"/>
      <c r="N79" s="15"/>
      <c r="O79" s="13" t="str">
        <f aca="false">IF(COUNTA($A79,$E79:$J79,$L79:$N79)=0,"",IF($A79="","Add Loan UID",IF(ISNA(MATCH($A79,'Loans (reference)'!$A$2:$A$500,0)),"UID not in Loans tab",IF($E79="","Add payment no.",IF(COUNTIFS($A$2:$A$300,$A79,$E$2:$E$300,$E79)&gt;1,"Duplicate payment no.",IF($F79="","Add payment date",IF(COUNT($G79:$I79)=0,"Add an amount","Ready")))))))</f>
        <v/>
      </c>
      <c r="P79" s="19"/>
      <c r="Q79" s="20"/>
    </row>
    <row r="80" customFormat="false" ht="15" hidden="false" customHeight="false" outlineLevel="0" collapsed="false">
      <c r="A80" s="12"/>
      <c r="B80" s="13" t="str">
        <f aca="false">IF($A80="","",IFERROR(INDEX('Loans (reference)'!$B$2:$B$500,MATCH($A80,'Loans (reference)'!$A$2:$A$500,0)),"not found"))</f>
        <v/>
      </c>
      <c r="C80" s="14" t="str">
        <f aca="false">IF($A80="","",IFERROR(INDEX('Loans (reference)'!$E$2:$E$500,MATCH($A80,'Loans (reference)'!$A$2:$A$500,0)),""))</f>
        <v/>
      </c>
      <c r="D80" s="13" t="str">
        <f aca="false">IF($A80="","",IFERROR(INDEX('Loans (reference)'!$K$2:$K$500,MATCH($A80,'Loans (reference)'!$A$2:$A$500,0)),""))</f>
        <v/>
      </c>
      <c r="E80" s="15"/>
      <c r="F80" s="16"/>
      <c r="G80" s="17"/>
      <c r="H80" s="17"/>
      <c r="I80" s="17"/>
      <c r="J80" s="17"/>
      <c r="K80" s="18" t="str">
        <f aca="false">IF(COUNT($G80:$I80)=0,"",SUM($G80:$I80))</f>
        <v/>
      </c>
      <c r="L80" s="15"/>
      <c r="M80" s="15"/>
      <c r="N80" s="15"/>
      <c r="O80" s="13" t="str">
        <f aca="false">IF(COUNTA($A80,$E80:$J80,$L80:$N80)=0,"",IF($A80="","Add Loan UID",IF(ISNA(MATCH($A80,'Loans (reference)'!$A$2:$A$500,0)),"UID not in Loans tab",IF($E80="","Add payment no.",IF(COUNTIFS($A$2:$A$300,$A80,$E$2:$E$300,$E80)&gt;1,"Duplicate payment no.",IF($F80="","Add payment date",IF(COUNT($G80:$I80)=0,"Add an amount","Ready")))))))</f>
        <v/>
      </c>
      <c r="P80" s="19"/>
      <c r="Q80" s="20"/>
    </row>
    <row r="81" customFormat="false" ht="15" hidden="false" customHeight="false" outlineLevel="0" collapsed="false">
      <c r="A81" s="12"/>
      <c r="B81" s="13" t="str">
        <f aca="false">IF($A81="","",IFERROR(INDEX('Loans (reference)'!$B$2:$B$500,MATCH($A81,'Loans (reference)'!$A$2:$A$500,0)),"not found"))</f>
        <v/>
      </c>
      <c r="C81" s="14" t="str">
        <f aca="false">IF($A81="","",IFERROR(INDEX('Loans (reference)'!$E$2:$E$500,MATCH($A81,'Loans (reference)'!$A$2:$A$500,0)),""))</f>
        <v/>
      </c>
      <c r="D81" s="13" t="str">
        <f aca="false">IF($A81="","",IFERROR(INDEX('Loans (reference)'!$K$2:$K$500,MATCH($A81,'Loans (reference)'!$A$2:$A$500,0)),""))</f>
        <v/>
      </c>
      <c r="E81" s="15"/>
      <c r="F81" s="16"/>
      <c r="G81" s="17"/>
      <c r="H81" s="17"/>
      <c r="I81" s="17"/>
      <c r="J81" s="17"/>
      <c r="K81" s="18" t="str">
        <f aca="false">IF(COUNT($G81:$I81)=0,"",SUM($G81:$I81))</f>
        <v/>
      </c>
      <c r="L81" s="15"/>
      <c r="M81" s="15"/>
      <c r="N81" s="15"/>
      <c r="O81" s="13" t="str">
        <f aca="false">IF(COUNTA($A81,$E81:$J81,$L81:$N81)=0,"",IF($A81="","Add Loan UID",IF(ISNA(MATCH($A81,'Loans (reference)'!$A$2:$A$500,0)),"UID not in Loans tab",IF($E81="","Add payment no.",IF(COUNTIFS($A$2:$A$300,$A81,$E$2:$E$300,$E81)&gt;1,"Duplicate payment no.",IF($F81="","Add payment date",IF(COUNT($G81:$I81)=0,"Add an amount","Ready")))))))</f>
        <v/>
      </c>
      <c r="P81" s="19"/>
      <c r="Q81" s="20"/>
    </row>
    <row r="82" customFormat="false" ht="15" hidden="false" customHeight="false" outlineLevel="0" collapsed="false">
      <c r="A82" s="12"/>
      <c r="B82" s="13" t="str">
        <f aca="false">IF($A82="","",IFERROR(INDEX('Loans (reference)'!$B$2:$B$500,MATCH($A82,'Loans (reference)'!$A$2:$A$500,0)),"not found"))</f>
        <v/>
      </c>
      <c r="C82" s="14" t="str">
        <f aca="false">IF($A82="","",IFERROR(INDEX('Loans (reference)'!$E$2:$E$500,MATCH($A82,'Loans (reference)'!$A$2:$A$500,0)),""))</f>
        <v/>
      </c>
      <c r="D82" s="13" t="str">
        <f aca="false">IF($A82="","",IFERROR(INDEX('Loans (reference)'!$K$2:$K$500,MATCH($A82,'Loans (reference)'!$A$2:$A$500,0)),""))</f>
        <v/>
      </c>
      <c r="E82" s="15"/>
      <c r="F82" s="16"/>
      <c r="G82" s="17"/>
      <c r="H82" s="17"/>
      <c r="I82" s="17"/>
      <c r="J82" s="17"/>
      <c r="K82" s="18" t="str">
        <f aca="false">IF(COUNT($G82:$I82)=0,"",SUM($G82:$I82))</f>
        <v/>
      </c>
      <c r="L82" s="15"/>
      <c r="M82" s="15"/>
      <c r="N82" s="15"/>
      <c r="O82" s="13" t="str">
        <f aca="false">IF(COUNTA($A82,$E82:$J82,$L82:$N82)=0,"",IF($A82="","Add Loan UID",IF(ISNA(MATCH($A82,'Loans (reference)'!$A$2:$A$500,0)),"UID not in Loans tab",IF($E82="","Add payment no.",IF(COUNTIFS($A$2:$A$300,$A82,$E$2:$E$300,$E82)&gt;1,"Duplicate payment no.",IF($F82="","Add payment date",IF(COUNT($G82:$I82)=0,"Add an amount","Ready")))))))</f>
        <v/>
      </c>
      <c r="P82" s="19"/>
      <c r="Q82" s="20"/>
    </row>
    <row r="83" customFormat="false" ht="15" hidden="false" customHeight="false" outlineLevel="0" collapsed="false">
      <c r="A83" s="12"/>
      <c r="B83" s="13" t="str">
        <f aca="false">IF($A83="","",IFERROR(INDEX('Loans (reference)'!$B$2:$B$500,MATCH($A83,'Loans (reference)'!$A$2:$A$500,0)),"not found"))</f>
        <v/>
      </c>
      <c r="C83" s="14" t="str">
        <f aca="false">IF($A83="","",IFERROR(INDEX('Loans (reference)'!$E$2:$E$500,MATCH($A83,'Loans (reference)'!$A$2:$A$500,0)),""))</f>
        <v/>
      </c>
      <c r="D83" s="13" t="str">
        <f aca="false">IF($A83="","",IFERROR(INDEX('Loans (reference)'!$K$2:$K$500,MATCH($A83,'Loans (reference)'!$A$2:$A$500,0)),""))</f>
        <v/>
      </c>
      <c r="E83" s="15"/>
      <c r="F83" s="16"/>
      <c r="G83" s="17"/>
      <c r="H83" s="17"/>
      <c r="I83" s="17"/>
      <c r="J83" s="17"/>
      <c r="K83" s="18" t="str">
        <f aca="false">IF(COUNT($G83:$I83)=0,"",SUM($G83:$I83))</f>
        <v/>
      </c>
      <c r="L83" s="15"/>
      <c r="M83" s="15"/>
      <c r="N83" s="15"/>
      <c r="O83" s="13" t="str">
        <f aca="false">IF(COUNTA($A83,$E83:$J83,$L83:$N83)=0,"",IF($A83="","Add Loan UID",IF(ISNA(MATCH($A83,'Loans (reference)'!$A$2:$A$500,0)),"UID not in Loans tab",IF($E83="","Add payment no.",IF(COUNTIFS($A$2:$A$300,$A83,$E$2:$E$300,$E83)&gt;1,"Duplicate payment no.",IF($F83="","Add payment date",IF(COUNT($G83:$I83)=0,"Add an amount","Ready")))))))</f>
        <v/>
      </c>
      <c r="P83" s="19"/>
      <c r="Q83" s="20"/>
    </row>
    <row r="84" customFormat="false" ht="15" hidden="false" customHeight="false" outlineLevel="0" collapsed="false">
      <c r="A84" s="12"/>
      <c r="B84" s="13" t="str">
        <f aca="false">IF($A84="","",IFERROR(INDEX('Loans (reference)'!$B$2:$B$500,MATCH($A84,'Loans (reference)'!$A$2:$A$500,0)),"not found"))</f>
        <v/>
      </c>
      <c r="C84" s="14" t="str">
        <f aca="false">IF($A84="","",IFERROR(INDEX('Loans (reference)'!$E$2:$E$500,MATCH($A84,'Loans (reference)'!$A$2:$A$500,0)),""))</f>
        <v/>
      </c>
      <c r="D84" s="13" t="str">
        <f aca="false">IF($A84="","",IFERROR(INDEX('Loans (reference)'!$K$2:$K$500,MATCH($A84,'Loans (reference)'!$A$2:$A$500,0)),""))</f>
        <v/>
      </c>
      <c r="E84" s="15"/>
      <c r="F84" s="16"/>
      <c r="G84" s="17"/>
      <c r="H84" s="17"/>
      <c r="I84" s="17"/>
      <c r="J84" s="17"/>
      <c r="K84" s="18" t="str">
        <f aca="false">IF(COUNT($G84:$I84)=0,"",SUM($G84:$I84))</f>
        <v/>
      </c>
      <c r="L84" s="15"/>
      <c r="M84" s="15"/>
      <c r="N84" s="15"/>
      <c r="O84" s="13" t="str">
        <f aca="false">IF(COUNTA($A84,$E84:$J84,$L84:$N84)=0,"",IF($A84="","Add Loan UID",IF(ISNA(MATCH($A84,'Loans (reference)'!$A$2:$A$500,0)),"UID not in Loans tab",IF($E84="","Add payment no.",IF(COUNTIFS($A$2:$A$300,$A84,$E$2:$E$300,$E84)&gt;1,"Duplicate payment no.",IF($F84="","Add payment date",IF(COUNT($G84:$I84)=0,"Add an amount","Ready")))))))</f>
        <v/>
      </c>
      <c r="P84" s="19"/>
      <c r="Q84" s="20"/>
    </row>
    <row r="85" customFormat="false" ht="15" hidden="false" customHeight="false" outlineLevel="0" collapsed="false">
      <c r="A85" s="12"/>
      <c r="B85" s="13" t="str">
        <f aca="false">IF($A85="","",IFERROR(INDEX('Loans (reference)'!$B$2:$B$500,MATCH($A85,'Loans (reference)'!$A$2:$A$500,0)),"not found"))</f>
        <v/>
      </c>
      <c r="C85" s="14" t="str">
        <f aca="false">IF($A85="","",IFERROR(INDEX('Loans (reference)'!$E$2:$E$500,MATCH($A85,'Loans (reference)'!$A$2:$A$500,0)),""))</f>
        <v/>
      </c>
      <c r="D85" s="13" t="str">
        <f aca="false">IF($A85="","",IFERROR(INDEX('Loans (reference)'!$K$2:$K$500,MATCH($A85,'Loans (reference)'!$A$2:$A$500,0)),""))</f>
        <v/>
      </c>
      <c r="E85" s="15"/>
      <c r="F85" s="16"/>
      <c r="G85" s="17"/>
      <c r="H85" s="17"/>
      <c r="I85" s="17"/>
      <c r="J85" s="17"/>
      <c r="K85" s="18" t="str">
        <f aca="false">IF(COUNT($G85:$I85)=0,"",SUM($G85:$I85))</f>
        <v/>
      </c>
      <c r="L85" s="15"/>
      <c r="M85" s="15"/>
      <c r="N85" s="15"/>
      <c r="O85" s="13" t="str">
        <f aca="false">IF(COUNTA($A85,$E85:$J85,$L85:$N85)=0,"",IF($A85="","Add Loan UID",IF(ISNA(MATCH($A85,'Loans (reference)'!$A$2:$A$500,0)),"UID not in Loans tab",IF($E85="","Add payment no.",IF(COUNTIFS($A$2:$A$300,$A85,$E$2:$E$300,$E85)&gt;1,"Duplicate payment no.",IF($F85="","Add payment date",IF(COUNT($G85:$I85)=0,"Add an amount","Ready")))))))</f>
        <v/>
      </c>
      <c r="P85" s="19"/>
      <c r="Q85" s="20"/>
    </row>
    <row r="86" customFormat="false" ht="15" hidden="false" customHeight="false" outlineLevel="0" collapsed="false">
      <c r="A86" s="12"/>
      <c r="B86" s="13" t="str">
        <f aca="false">IF($A86="","",IFERROR(INDEX('Loans (reference)'!$B$2:$B$500,MATCH($A86,'Loans (reference)'!$A$2:$A$500,0)),"not found"))</f>
        <v/>
      </c>
      <c r="C86" s="14" t="str">
        <f aca="false">IF($A86="","",IFERROR(INDEX('Loans (reference)'!$E$2:$E$500,MATCH($A86,'Loans (reference)'!$A$2:$A$500,0)),""))</f>
        <v/>
      </c>
      <c r="D86" s="13" t="str">
        <f aca="false">IF($A86="","",IFERROR(INDEX('Loans (reference)'!$K$2:$K$500,MATCH($A86,'Loans (reference)'!$A$2:$A$500,0)),""))</f>
        <v/>
      </c>
      <c r="E86" s="15"/>
      <c r="F86" s="16"/>
      <c r="G86" s="17"/>
      <c r="H86" s="17"/>
      <c r="I86" s="17"/>
      <c r="J86" s="17"/>
      <c r="K86" s="18" t="str">
        <f aca="false">IF(COUNT($G86:$I86)=0,"",SUM($G86:$I86))</f>
        <v/>
      </c>
      <c r="L86" s="15"/>
      <c r="M86" s="15"/>
      <c r="N86" s="15"/>
      <c r="O86" s="13" t="str">
        <f aca="false">IF(COUNTA($A86,$E86:$J86,$L86:$N86)=0,"",IF($A86="","Add Loan UID",IF(ISNA(MATCH($A86,'Loans (reference)'!$A$2:$A$500,0)),"UID not in Loans tab",IF($E86="","Add payment no.",IF(COUNTIFS($A$2:$A$300,$A86,$E$2:$E$300,$E86)&gt;1,"Duplicate payment no.",IF($F86="","Add payment date",IF(COUNT($G86:$I86)=0,"Add an amount","Ready")))))))</f>
        <v/>
      </c>
      <c r="P86" s="19"/>
      <c r="Q86" s="20"/>
    </row>
    <row r="87" customFormat="false" ht="15" hidden="false" customHeight="false" outlineLevel="0" collapsed="false">
      <c r="A87" s="12"/>
      <c r="B87" s="13" t="str">
        <f aca="false">IF($A87="","",IFERROR(INDEX('Loans (reference)'!$B$2:$B$500,MATCH($A87,'Loans (reference)'!$A$2:$A$500,0)),"not found"))</f>
        <v/>
      </c>
      <c r="C87" s="14" t="str">
        <f aca="false">IF($A87="","",IFERROR(INDEX('Loans (reference)'!$E$2:$E$500,MATCH($A87,'Loans (reference)'!$A$2:$A$500,0)),""))</f>
        <v/>
      </c>
      <c r="D87" s="13" t="str">
        <f aca="false">IF($A87="","",IFERROR(INDEX('Loans (reference)'!$K$2:$K$500,MATCH($A87,'Loans (reference)'!$A$2:$A$500,0)),""))</f>
        <v/>
      </c>
      <c r="E87" s="15"/>
      <c r="F87" s="16"/>
      <c r="G87" s="17"/>
      <c r="H87" s="17"/>
      <c r="I87" s="17"/>
      <c r="J87" s="17"/>
      <c r="K87" s="18" t="str">
        <f aca="false">IF(COUNT($G87:$I87)=0,"",SUM($G87:$I87))</f>
        <v/>
      </c>
      <c r="L87" s="15"/>
      <c r="M87" s="15"/>
      <c r="N87" s="15"/>
      <c r="O87" s="13" t="str">
        <f aca="false">IF(COUNTA($A87,$E87:$J87,$L87:$N87)=0,"",IF($A87="","Add Loan UID",IF(ISNA(MATCH($A87,'Loans (reference)'!$A$2:$A$500,0)),"UID not in Loans tab",IF($E87="","Add payment no.",IF(COUNTIFS($A$2:$A$300,$A87,$E$2:$E$300,$E87)&gt;1,"Duplicate payment no.",IF($F87="","Add payment date",IF(COUNT($G87:$I87)=0,"Add an amount","Ready")))))))</f>
        <v/>
      </c>
      <c r="P87" s="19"/>
      <c r="Q87" s="20"/>
    </row>
    <row r="88" customFormat="false" ht="15" hidden="false" customHeight="false" outlineLevel="0" collapsed="false">
      <c r="A88" s="12"/>
      <c r="B88" s="13" t="str">
        <f aca="false">IF($A88="","",IFERROR(INDEX('Loans (reference)'!$B$2:$B$500,MATCH($A88,'Loans (reference)'!$A$2:$A$500,0)),"not found"))</f>
        <v/>
      </c>
      <c r="C88" s="14" t="str">
        <f aca="false">IF($A88="","",IFERROR(INDEX('Loans (reference)'!$E$2:$E$500,MATCH($A88,'Loans (reference)'!$A$2:$A$500,0)),""))</f>
        <v/>
      </c>
      <c r="D88" s="13" t="str">
        <f aca="false">IF($A88="","",IFERROR(INDEX('Loans (reference)'!$K$2:$K$500,MATCH($A88,'Loans (reference)'!$A$2:$A$500,0)),""))</f>
        <v/>
      </c>
      <c r="E88" s="15"/>
      <c r="F88" s="16"/>
      <c r="G88" s="17"/>
      <c r="H88" s="17"/>
      <c r="I88" s="17"/>
      <c r="J88" s="17"/>
      <c r="K88" s="18" t="str">
        <f aca="false">IF(COUNT($G88:$I88)=0,"",SUM($G88:$I88))</f>
        <v/>
      </c>
      <c r="L88" s="15"/>
      <c r="M88" s="15"/>
      <c r="N88" s="15"/>
      <c r="O88" s="13" t="str">
        <f aca="false">IF(COUNTA($A88,$E88:$J88,$L88:$N88)=0,"",IF($A88="","Add Loan UID",IF(ISNA(MATCH($A88,'Loans (reference)'!$A$2:$A$500,0)),"UID not in Loans tab",IF($E88="","Add payment no.",IF(COUNTIFS($A$2:$A$300,$A88,$E$2:$E$300,$E88)&gt;1,"Duplicate payment no.",IF($F88="","Add payment date",IF(COUNT($G88:$I88)=0,"Add an amount","Ready")))))))</f>
        <v/>
      </c>
      <c r="P88" s="19"/>
      <c r="Q88" s="20"/>
    </row>
    <row r="89" customFormat="false" ht="15" hidden="false" customHeight="false" outlineLevel="0" collapsed="false">
      <c r="A89" s="12"/>
      <c r="B89" s="13" t="str">
        <f aca="false">IF($A89="","",IFERROR(INDEX('Loans (reference)'!$B$2:$B$500,MATCH($A89,'Loans (reference)'!$A$2:$A$500,0)),"not found"))</f>
        <v/>
      </c>
      <c r="C89" s="14" t="str">
        <f aca="false">IF($A89="","",IFERROR(INDEX('Loans (reference)'!$E$2:$E$500,MATCH($A89,'Loans (reference)'!$A$2:$A$500,0)),""))</f>
        <v/>
      </c>
      <c r="D89" s="13" t="str">
        <f aca="false">IF($A89="","",IFERROR(INDEX('Loans (reference)'!$K$2:$K$500,MATCH($A89,'Loans (reference)'!$A$2:$A$500,0)),""))</f>
        <v/>
      </c>
      <c r="E89" s="15"/>
      <c r="F89" s="16"/>
      <c r="G89" s="17"/>
      <c r="H89" s="17"/>
      <c r="I89" s="17"/>
      <c r="J89" s="17"/>
      <c r="K89" s="18" t="str">
        <f aca="false">IF(COUNT($G89:$I89)=0,"",SUM($G89:$I89))</f>
        <v/>
      </c>
      <c r="L89" s="15"/>
      <c r="M89" s="15"/>
      <c r="N89" s="15"/>
      <c r="O89" s="13" t="str">
        <f aca="false">IF(COUNTA($A89,$E89:$J89,$L89:$N89)=0,"",IF($A89="","Add Loan UID",IF(ISNA(MATCH($A89,'Loans (reference)'!$A$2:$A$500,0)),"UID not in Loans tab",IF($E89="","Add payment no.",IF(COUNTIFS($A$2:$A$300,$A89,$E$2:$E$300,$E89)&gt;1,"Duplicate payment no.",IF($F89="","Add payment date",IF(COUNT($G89:$I89)=0,"Add an amount","Ready")))))))</f>
        <v/>
      </c>
      <c r="P89" s="19"/>
      <c r="Q89" s="20"/>
    </row>
    <row r="90" customFormat="false" ht="15" hidden="false" customHeight="false" outlineLevel="0" collapsed="false">
      <c r="A90" s="12"/>
      <c r="B90" s="13" t="str">
        <f aca="false">IF($A90="","",IFERROR(INDEX('Loans (reference)'!$B$2:$B$500,MATCH($A90,'Loans (reference)'!$A$2:$A$500,0)),"not found"))</f>
        <v/>
      </c>
      <c r="C90" s="14" t="str">
        <f aca="false">IF($A90="","",IFERROR(INDEX('Loans (reference)'!$E$2:$E$500,MATCH($A90,'Loans (reference)'!$A$2:$A$500,0)),""))</f>
        <v/>
      </c>
      <c r="D90" s="13" t="str">
        <f aca="false">IF($A90="","",IFERROR(INDEX('Loans (reference)'!$K$2:$K$500,MATCH($A90,'Loans (reference)'!$A$2:$A$500,0)),""))</f>
        <v/>
      </c>
      <c r="E90" s="15"/>
      <c r="F90" s="16"/>
      <c r="G90" s="17"/>
      <c r="H90" s="17"/>
      <c r="I90" s="17"/>
      <c r="J90" s="17"/>
      <c r="K90" s="18" t="str">
        <f aca="false">IF(COUNT($G90:$I90)=0,"",SUM($G90:$I90))</f>
        <v/>
      </c>
      <c r="L90" s="15"/>
      <c r="M90" s="15"/>
      <c r="N90" s="15"/>
      <c r="O90" s="13" t="str">
        <f aca="false">IF(COUNTA($A90,$E90:$J90,$L90:$N90)=0,"",IF($A90="","Add Loan UID",IF(ISNA(MATCH($A90,'Loans (reference)'!$A$2:$A$500,0)),"UID not in Loans tab",IF($E90="","Add payment no.",IF(COUNTIFS($A$2:$A$300,$A90,$E$2:$E$300,$E90)&gt;1,"Duplicate payment no.",IF($F90="","Add payment date",IF(COUNT($G90:$I90)=0,"Add an amount","Ready")))))))</f>
        <v/>
      </c>
      <c r="P90" s="19"/>
      <c r="Q90" s="20"/>
    </row>
    <row r="91" customFormat="false" ht="15" hidden="false" customHeight="false" outlineLevel="0" collapsed="false">
      <c r="A91" s="12"/>
      <c r="B91" s="13" t="str">
        <f aca="false">IF($A91="","",IFERROR(INDEX('Loans (reference)'!$B$2:$B$500,MATCH($A91,'Loans (reference)'!$A$2:$A$500,0)),"not found"))</f>
        <v/>
      </c>
      <c r="C91" s="14" t="str">
        <f aca="false">IF($A91="","",IFERROR(INDEX('Loans (reference)'!$E$2:$E$500,MATCH($A91,'Loans (reference)'!$A$2:$A$500,0)),""))</f>
        <v/>
      </c>
      <c r="D91" s="13" t="str">
        <f aca="false">IF($A91="","",IFERROR(INDEX('Loans (reference)'!$K$2:$K$500,MATCH($A91,'Loans (reference)'!$A$2:$A$500,0)),""))</f>
        <v/>
      </c>
      <c r="E91" s="15"/>
      <c r="F91" s="16"/>
      <c r="G91" s="17"/>
      <c r="H91" s="17"/>
      <c r="I91" s="17"/>
      <c r="J91" s="17"/>
      <c r="K91" s="18" t="str">
        <f aca="false">IF(COUNT($G91:$I91)=0,"",SUM($G91:$I91))</f>
        <v/>
      </c>
      <c r="L91" s="15"/>
      <c r="M91" s="15"/>
      <c r="N91" s="15"/>
      <c r="O91" s="13" t="str">
        <f aca="false">IF(COUNTA($A91,$E91:$J91,$L91:$N91)=0,"",IF($A91="","Add Loan UID",IF(ISNA(MATCH($A91,'Loans (reference)'!$A$2:$A$500,0)),"UID not in Loans tab",IF($E91="","Add payment no.",IF(COUNTIFS($A$2:$A$300,$A91,$E$2:$E$300,$E91)&gt;1,"Duplicate payment no.",IF($F91="","Add payment date",IF(COUNT($G91:$I91)=0,"Add an amount","Ready")))))))</f>
        <v/>
      </c>
      <c r="P91" s="19"/>
      <c r="Q91" s="20"/>
    </row>
    <row r="92" customFormat="false" ht="15" hidden="false" customHeight="false" outlineLevel="0" collapsed="false">
      <c r="A92" s="12"/>
      <c r="B92" s="13" t="str">
        <f aca="false">IF($A92="","",IFERROR(INDEX('Loans (reference)'!$B$2:$B$500,MATCH($A92,'Loans (reference)'!$A$2:$A$500,0)),"not found"))</f>
        <v/>
      </c>
      <c r="C92" s="14" t="str">
        <f aca="false">IF($A92="","",IFERROR(INDEX('Loans (reference)'!$E$2:$E$500,MATCH($A92,'Loans (reference)'!$A$2:$A$500,0)),""))</f>
        <v/>
      </c>
      <c r="D92" s="13" t="str">
        <f aca="false">IF($A92="","",IFERROR(INDEX('Loans (reference)'!$K$2:$K$500,MATCH($A92,'Loans (reference)'!$A$2:$A$500,0)),""))</f>
        <v/>
      </c>
      <c r="E92" s="15"/>
      <c r="F92" s="16"/>
      <c r="G92" s="17"/>
      <c r="H92" s="17"/>
      <c r="I92" s="17"/>
      <c r="J92" s="17"/>
      <c r="K92" s="18" t="str">
        <f aca="false">IF(COUNT($G92:$I92)=0,"",SUM($G92:$I92))</f>
        <v/>
      </c>
      <c r="L92" s="15"/>
      <c r="M92" s="15"/>
      <c r="N92" s="15"/>
      <c r="O92" s="13" t="str">
        <f aca="false">IF(COUNTA($A92,$E92:$J92,$L92:$N92)=0,"",IF($A92="","Add Loan UID",IF(ISNA(MATCH($A92,'Loans (reference)'!$A$2:$A$500,0)),"UID not in Loans tab",IF($E92="","Add payment no.",IF(COUNTIFS($A$2:$A$300,$A92,$E$2:$E$300,$E92)&gt;1,"Duplicate payment no.",IF($F92="","Add payment date",IF(COUNT($G92:$I92)=0,"Add an amount","Ready")))))))</f>
        <v/>
      </c>
      <c r="P92" s="19"/>
      <c r="Q92" s="20"/>
    </row>
    <row r="93" customFormat="false" ht="15" hidden="false" customHeight="false" outlineLevel="0" collapsed="false">
      <c r="A93" s="12"/>
      <c r="B93" s="13" t="str">
        <f aca="false">IF($A93="","",IFERROR(INDEX('Loans (reference)'!$B$2:$B$500,MATCH($A93,'Loans (reference)'!$A$2:$A$500,0)),"not found"))</f>
        <v/>
      </c>
      <c r="C93" s="14" t="str">
        <f aca="false">IF($A93="","",IFERROR(INDEX('Loans (reference)'!$E$2:$E$500,MATCH($A93,'Loans (reference)'!$A$2:$A$500,0)),""))</f>
        <v/>
      </c>
      <c r="D93" s="13" t="str">
        <f aca="false">IF($A93="","",IFERROR(INDEX('Loans (reference)'!$K$2:$K$500,MATCH($A93,'Loans (reference)'!$A$2:$A$500,0)),""))</f>
        <v/>
      </c>
      <c r="E93" s="15"/>
      <c r="F93" s="16"/>
      <c r="G93" s="17"/>
      <c r="H93" s="17"/>
      <c r="I93" s="17"/>
      <c r="J93" s="17"/>
      <c r="K93" s="18" t="str">
        <f aca="false">IF(COUNT($G93:$I93)=0,"",SUM($G93:$I93))</f>
        <v/>
      </c>
      <c r="L93" s="15"/>
      <c r="M93" s="15"/>
      <c r="N93" s="15"/>
      <c r="O93" s="13" t="str">
        <f aca="false">IF(COUNTA($A93,$E93:$J93,$L93:$N93)=0,"",IF($A93="","Add Loan UID",IF(ISNA(MATCH($A93,'Loans (reference)'!$A$2:$A$500,0)),"UID not in Loans tab",IF($E93="","Add payment no.",IF(COUNTIFS($A$2:$A$300,$A93,$E$2:$E$300,$E93)&gt;1,"Duplicate payment no.",IF($F93="","Add payment date",IF(COUNT($G93:$I93)=0,"Add an amount","Ready")))))))</f>
        <v/>
      </c>
      <c r="P93" s="19"/>
      <c r="Q93" s="20"/>
    </row>
    <row r="94" customFormat="false" ht="15" hidden="false" customHeight="false" outlineLevel="0" collapsed="false">
      <c r="A94" s="12"/>
      <c r="B94" s="13" t="str">
        <f aca="false">IF($A94="","",IFERROR(INDEX('Loans (reference)'!$B$2:$B$500,MATCH($A94,'Loans (reference)'!$A$2:$A$500,0)),"not found"))</f>
        <v/>
      </c>
      <c r="C94" s="14" t="str">
        <f aca="false">IF($A94="","",IFERROR(INDEX('Loans (reference)'!$E$2:$E$500,MATCH($A94,'Loans (reference)'!$A$2:$A$500,0)),""))</f>
        <v/>
      </c>
      <c r="D94" s="13" t="str">
        <f aca="false">IF($A94="","",IFERROR(INDEX('Loans (reference)'!$K$2:$K$500,MATCH($A94,'Loans (reference)'!$A$2:$A$500,0)),""))</f>
        <v/>
      </c>
      <c r="E94" s="15"/>
      <c r="F94" s="16"/>
      <c r="G94" s="17"/>
      <c r="H94" s="17"/>
      <c r="I94" s="17"/>
      <c r="J94" s="17"/>
      <c r="K94" s="18" t="str">
        <f aca="false">IF(COUNT($G94:$I94)=0,"",SUM($G94:$I94))</f>
        <v/>
      </c>
      <c r="L94" s="15"/>
      <c r="M94" s="15"/>
      <c r="N94" s="15"/>
      <c r="O94" s="13" t="str">
        <f aca="false">IF(COUNTA($A94,$E94:$J94,$L94:$N94)=0,"",IF($A94="","Add Loan UID",IF(ISNA(MATCH($A94,'Loans (reference)'!$A$2:$A$500,0)),"UID not in Loans tab",IF($E94="","Add payment no.",IF(COUNTIFS($A$2:$A$300,$A94,$E$2:$E$300,$E94)&gt;1,"Duplicate payment no.",IF($F94="","Add payment date",IF(COUNT($G94:$I94)=0,"Add an amount","Ready")))))))</f>
        <v/>
      </c>
      <c r="P94" s="19"/>
      <c r="Q94" s="20"/>
    </row>
    <row r="95" customFormat="false" ht="15" hidden="false" customHeight="false" outlineLevel="0" collapsed="false">
      <c r="A95" s="12"/>
      <c r="B95" s="13" t="str">
        <f aca="false">IF($A95="","",IFERROR(INDEX('Loans (reference)'!$B$2:$B$500,MATCH($A95,'Loans (reference)'!$A$2:$A$500,0)),"not found"))</f>
        <v/>
      </c>
      <c r="C95" s="14" t="str">
        <f aca="false">IF($A95="","",IFERROR(INDEX('Loans (reference)'!$E$2:$E$500,MATCH($A95,'Loans (reference)'!$A$2:$A$500,0)),""))</f>
        <v/>
      </c>
      <c r="D95" s="13" t="str">
        <f aca="false">IF($A95="","",IFERROR(INDEX('Loans (reference)'!$K$2:$K$500,MATCH($A95,'Loans (reference)'!$A$2:$A$500,0)),""))</f>
        <v/>
      </c>
      <c r="E95" s="15"/>
      <c r="F95" s="16"/>
      <c r="G95" s="17"/>
      <c r="H95" s="17"/>
      <c r="I95" s="17"/>
      <c r="J95" s="17"/>
      <c r="K95" s="18" t="str">
        <f aca="false">IF(COUNT($G95:$I95)=0,"",SUM($G95:$I95))</f>
        <v/>
      </c>
      <c r="L95" s="15"/>
      <c r="M95" s="15"/>
      <c r="N95" s="15"/>
      <c r="O95" s="13" t="str">
        <f aca="false">IF(COUNTA($A95,$E95:$J95,$L95:$N95)=0,"",IF($A95="","Add Loan UID",IF(ISNA(MATCH($A95,'Loans (reference)'!$A$2:$A$500,0)),"UID not in Loans tab",IF($E95="","Add payment no.",IF(COUNTIFS($A$2:$A$300,$A95,$E$2:$E$300,$E95)&gt;1,"Duplicate payment no.",IF($F95="","Add payment date",IF(COUNT($G95:$I95)=0,"Add an amount","Ready")))))))</f>
        <v/>
      </c>
      <c r="P95" s="19"/>
      <c r="Q95" s="20"/>
    </row>
    <row r="96" customFormat="false" ht="15" hidden="false" customHeight="false" outlineLevel="0" collapsed="false">
      <c r="A96" s="12"/>
      <c r="B96" s="13" t="str">
        <f aca="false">IF($A96="","",IFERROR(INDEX('Loans (reference)'!$B$2:$B$500,MATCH($A96,'Loans (reference)'!$A$2:$A$500,0)),"not found"))</f>
        <v/>
      </c>
      <c r="C96" s="14" t="str">
        <f aca="false">IF($A96="","",IFERROR(INDEX('Loans (reference)'!$E$2:$E$500,MATCH($A96,'Loans (reference)'!$A$2:$A$500,0)),""))</f>
        <v/>
      </c>
      <c r="D96" s="13" t="str">
        <f aca="false">IF($A96="","",IFERROR(INDEX('Loans (reference)'!$K$2:$K$500,MATCH($A96,'Loans (reference)'!$A$2:$A$500,0)),""))</f>
        <v/>
      </c>
      <c r="E96" s="15"/>
      <c r="F96" s="16"/>
      <c r="G96" s="17"/>
      <c r="H96" s="17"/>
      <c r="I96" s="17"/>
      <c r="J96" s="17"/>
      <c r="K96" s="18" t="str">
        <f aca="false">IF(COUNT($G96:$I96)=0,"",SUM($G96:$I96))</f>
        <v/>
      </c>
      <c r="L96" s="15"/>
      <c r="M96" s="15"/>
      <c r="N96" s="15"/>
      <c r="O96" s="13" t="str">
        <f aca="false">IF(COUNTA($A96,$E96:$J96,$L96:$N96)=0,"",IF($A96="","Add Loan UID",IF(ISNA(MATCH($A96,'Loans (reference)'!$A$2:$A$500,0)),"UID not in Loans tab",IF($E96="","Add payment no.",IF(COUNTIFS($A$2:$A$300,$A96,$E$2:$E$300,$E96)&gt;1,"Duplicate payment no.",IF($F96="","Add payment date",IF(COUNT($G96:$I96)=0,"Add an amount","Ready")))))))</f>
        <v/>
      </c>
      <c r="P96" s="19"/>
      <c r="Q96" s="20"/>
    </row>
    <row r="97" customFormat="false" ht="15" hidden="false" customHeight="false" outlineLevel="0" collapsed="false">
      <c r="A97" s="12"/>
      <c r="B97" s="13" t="str">
        <f aca="false">IF($A97="","",IFERROR(INDEX('Loans (reference)'!$B$2:$B$500,MATCH($A97,'Loans (reference)'!$A$2:$A$500,0)),"not found"))</f>
        <v/>
      </c>
      <c r="C97" s="14" t="str">
        <f aca="false">IF($A97="","",IFERROR(INDEX('Loans (reference)'!$E$2:$E$500,MATCH($A97,'Loans (reference)'!$A$2:$A$500,0)),""))</f>
        <v/>
      </c>
      <c r="D97" s="13" t="str">
        <f aca="false">IF($A97="","",IFERROR(INDEX('Loans (reference)'!$K$2:$K$500,MATCH($A97,'Loans (reference)'!$A$2:$A$500,0)),""))</f>
        <v/>
      </c>
      <c r="E97" s="15"/>
      <c r="F97" s="16"/>
      <c r="G97" s="17"/>
      <c r="H97" s="17"/>
      <c r="I97" s="17"/>
      <c r="J97" s="17"/>
      <c r="K97" s="18" t="str">
        <f aca="false">IF(COUNT($G97:$I97)=0,"",SUM($G97:$I97))</f>
        <v/>
      </c>
      <c r="L97" s="15"/>
      <c r="M97" s="15"/>
      <c r="N97" s="15"/>
      <c r="O97" s="13" t="str">
        <f aca="false">IF(COUNTA($A97,$E97:$J97,$L97:$N97)=0,"",IF($A97="","Add Loan UID",IF(ISNA(MATCH($A97,'Loans (reference)'!$A$2:$A$500,0)),"UID not in Loans tab",IF($E97="","Add payment no.",IF(COUNTIFS($A$2:$A$300,$A97,$E$2:$E$300,$E97)&gt;1,"Duplicate payment no.",IF($F97="","Add payment date",IF(COUNT($G97:$I97)=0,"Add an amount","Ready")))))))</f>
        <v/>
      </c>
      <c r="P97" s="19"/>
      <c r="Q97" s="20"/>
    </row>
    <row r="98" customFormat="false" ht="15" hidden="false" customHeight="false" outlineLevel="0" collapsed="false">
      <c r="A98" s="12"/>
      <c r="B98" s="13" t="str">
        <f aca="false">IF($A98="","",IFERROR(INDEX('Loans (reference)'!$B$2:$B$500,MATCH($A98,'Loans (reference)'!$A$2:$A$500,0)),"not found"))</f>
        <v/>
      </c>
      <c r="C98" s="14" t="str">
        <f aca="false">IF($A98="","",IFERROR(INDEX('Loans (reference)'!$E$2:$E$500,MATCH($A98,'Loans (reference)'!$A$2:$A$500,0)),""))</f>
        <v/>
      </c>
      <c r="D98" s="13" t="str">
        <f aca="false">IF($A98="","",IFERROR(INDEX('Loans (reference)'!$K$2:$K$500,MATCH($A98,'Loans (reference)'!$A$2:$A$500,0)),""))</f>
        <v/>
      </c>
      <c r="E98" s="15"/>
      <c r="F98" s="16"/>
      <c r="G98" s="17"/>
      <c r="H98" s="17"/>
      <c r="I98" s="17"/>
      <c r="J98" s="17"/>
      <c r="K98" s="18" t="str">
        <f aca="false">IF(COUNT($G98:$I98)=0,"",SUM($G98:$I98))</f>
        <v/>
      </c>
      <c r="L98" s="15"/>
      <c r="M98" s="15"/>
      <c r="N98" s="15"/>
      <c r="O98" s="13" t="str">
        <f aca="false">IF(COUNTA($A98,$E98:$J98,$L98:$N98)=0,"",IF($A98="","Add Loan UID",IF(ISNA(MATCH($A98,'Loans (reference)'!$A$2:$A$500,0)),"UID not in Loans tab",IF($E98="","Add payment no.",IF(COUNTIFS($A$2:$A$300,$A98,$E$2:$E$300,$E98)&gt;1,"Duplicate payment no.",IF($F98="","Add payment date",IF(COUNT($G98:$I98)=0,"Add an amount","Ready")))))))</f>
        <v/>
      </c>
      <c r="P98" s="19"/>
      <c r="Q98" s="20"/>
    </row>
    <row r="99" customFormat="false" ht="15" hidden="false" customHeight="false" outlineLevel="0" collapsed="false">
      <c r="A99" s="12"/>
      <c r="B99" s="13" t="str">
        <f aca="false">IF($A99="","",IFERROR(INDEX('Loans (reference)'!$B$2:$B$500,MATCH($A99,'Loans (reference)'!$A$2:$A$500,0)),"not found"))</f>
        <v/>
      </c>
      <c r="C99" s="14" t="str">
        <f aca="false">IF($A99="","",IFERROR(INDEX('Loans (reference)'!$E$2:$E$500,MATCH($A99,'Loans (reference)'!$A$2:$A$500,0)),""))</f>
        <v/>
      </c>
      <c r="D99" s="13" t="str">
        <f aca="false">IF($A99="","",IFERROR(INDEX('Loans (reference)'!$K$2:$K$500,MATCH($A99,'Loans (reference)'!$A$2:$A$500,0)),""))</f>
        <v/>
      </c>
      <c r="E99" s="15"/>
      <c r="F99" s="16"/>
      <c r="G99" s="17"/>
      <c r="H99" s="17"/>
      <c r="I99" s="17"/>
      <c r="J99" s="17"/>
      <c r="K99" s="18" t="str">
        <f aca="false">IF(COUNT($G99:$I99)=0,"",SUM($G99:$I99))</f>
        <v/>
      </c>
      <c r="L99" s="15"/>
      <c r="M99" s="15"/>
      <c r="N99" s="15"/>
      <c r="O99" s="13" t="str">
        <f aca="false">IF(COUNTA($A99,$E99:$J99,$L99:$N99)=0,"",IF($A99="","Add Loan UID",IF(ISNA(MATCH($A99,'Loans (reference)'!$A$2:$A$500,0)),"UID not in Loans tab",IF($E99="","Add payment no.",IF(COUNTIFS($A$2:$A$300,$A99,$E$2:$E$300,$E99)&gt;1,"Duplicate payment no.",IF($F99="","Add payment date",IF(COUNT($G99:$I99)=0,"Add an amount","Ready")))))))</f>
        <v/>
      </c>
      <c r="P99" s="19"/>
      <c r="Q99" s="20"/>
    </row>
    <row r="100" customFormat="false" ht="15" hidden="false" customHeight="false" outlineLevel="0" collapsed="false">
      <c r="A100" s="12"/>
      <c r="B100" s="13" t="str">
        <f aca="false">IF($A100="","",IFERROR(INDEX('Loans (reference)'!$B$2:$B$500,MATCH($A100,'Loans (reference)'!$A$2:$A$500,0)),"not found"))</f>
        <v/>
      </c>
      <c r="C100" s="14" t="str">
        <f aca="false">IF($A100="","",IFERROR(INDEX('Loans (reference)'!$E$2:$E$500,MATCH($A100,'Loans (reference)'!$A$2:$A$500,0)),""))</f>
        <v/>
      </c>
      <c r="D100" s="13" t="str">
        <f aca="false">IF($A100="","",IFERROR(INDEX('Loans (reference)'!$K$2:$K$500,MATCH($A100,'Loans (reference)'!$A$2:$A$500,0)),""))</f>
        <v/>
      </c>
      <c r="E100" s="15"/>
      <c r="F100" s="16"/>
      <c r="G100" s="17"/>
      <c r="H100" s="17"/>
      <c r="I100" s="17"/>
      <c r="J100" s="17"/>
      <c r="K100" s="18" t="str">
        <f aca="false">IF(COUNT($G100:$I100)=0,"",SUM($G100:$I100))</f>
        <v/>
      </c>
      <c r="L100" s="15"/>
      <c r="M100" s="15"/>
      <c r="N100" s="15"/>
      <c r="O100" s="13" t="str">
        <f aca="false">IF(COUNTA($A100,$E100:$J100,$L100:$N100)=0,"",IF($A100="","Add Loan UID",IF(ISNA(MATCH($A100,'Loans (reference)'!$A$2:$A$500,0)),"UID not in Loans tab",IF($E100="","Add payment no.",IF(COUNTIFS($A$2:$A$300,$A100,$E$2:$E$300,$E100)&gt;1,"Duplicate payment no.",IF($F100="","Add payment date",IF(COUNT($G100:$I100)=0,"Add an amount","Ready")))))))</f>
        <v/>
      </c>
      <c r="P100" s="19"/>
      <c r="Q100" s="20"/>
    </row>
    <row r="101" customFormat="false" ht="15" hidden="false" customHeight="false" outlineLevel="0" collapsed="false">
      <c r="A101" s="12"/>
      <c r="B101" s="13" t="str">
        <f aca="false">IF($A101="","",IFERROR(INDEX('Loans (reference)'!$B$2:$B$500,MATCH($A101,'Loans (reference)'!$A$2:$A$500,0)),"not found"))</f>
        <v/>
      </c>
      <c r="C101" s="14" t="str">
        <f aca="false">IF($A101="","",IFERROR(INDEX('Loans (reference)'!$E$2:$E$500,MATCH($A101,'Loans (reference)'!$A$2:$A$500,0)),""))</f>
        <v/>
      </c>
      <c r="D101" s="13" t="str">
        <f aca="false">IF($A101="","",IFERROR(INDEX('Loans (reference)'!$K$2:$K$500,MATCH($A101,'Loans (reference)'!$A$2:$A$500,0)),""))</f>
        <v/>
      </c>
      <c r="E101" s="15"/>
      <c r="F101" s="16"/>
      <c r="G101" s="17"/>
      <c r="H101" s="17"/>
      <c r="I101" s="17"/>
      <c r="J101" s="17"/>
      <c r="K101" s="18" t="str">
        <f aca="false">IF(COUNT($G101:$I101)=0,"",SUM($G101:$I101))</f>
        <v/>
      </c>
      <c r="L101" s="15"/>
      <c r="M101" s="15"/>
      <c r="N101" s="15"/>
      <c r="O101" s="13" t="str">
        <f aca="false">IF(COUNTA($A101,$E101:$J101,$L101:$N101)=0,"",IF($A101="","Add Loan UID",IF(ISNA(MATCH($A101,'Loans (reference)'!$A$2:$A$500,0)),"UID not in Loans tab",IF($E101="","Add payment no.",IF(COUNTIFS($A$2:$A$300,$A101,$E$2:$E$300,$E101)&gt;1,"Duplicate payment no.",IF($F101="","Add payment date",IF(COUNT($G101:$I101)=0,"Add an amount","Ready")))))))</f>
        <v/>
      </c>
      <c r="P101" s="19"/>
      <c r="Q101" s="20"/>
    </row>
    <row r="102" customFormat="false" ht="15" hidden="false" customHeight="false" outlineLevel="0" collapsed="false">
      <c r="A102" s="12"/>
      <c r="B102" s="13" t="str">
        <f aca="false">IF($A102="","",IFERROR(INDEX('Loans (reference)'!$B$2:$B$500,MATCH($A102,'Loans (reference)'!$A$2:$A$500,0)),"not found"))</f>
        <v/>
      </c>
      <c r="C102" s="14" t="str">
        <f aca="false">IF($A102="","",IFERROR(INDEX('Loans (reference)'!$E$2:$E$500,MATCH($A102,'Loans (reference)'!$A$2:$A$500,0)),""))</f>
        <v/>
      </c>
      <c r="D102" s="13" t="str">
        <f aca="false">IF($A102="","",IFERROR(INDEX('Loans (reference)'!$K$2:$K$500,MATCH($A102,'Loans (reference)'!$A$2:$A$500,0)),""))</f>
        <v/>
      </c>
      <c r="E102" s="15"/>
      <c r="F102" s="16"/>
      <c r="G102" s="17"/>
      <c r="H102" s="17"/>
      <c r="I102" s="17"/>
      <c r="J102" s="17"/>
      <c r="K102" s="18" t="str">
        <f aca="false">IF(COUNT($G102:$I102)=0,"",SUM($G102:$I102))</f>
        <v/>
      </c>
      <c r="L102" s="15"/>
      <c r="M102" s="15"/>
      <c r="N102" s="15"/>
      <c r="O102" s="13" t="str">
        <f aca="false">IF(COUNTA($A102,$E102:$J102,$L102:$N102)=0,"",IF($A102="","Add Loan UID",IF(ISNA(MATCH($A102,'Loans (reference)'!$A$2:$A$500,0)),"UID not in Loans tab",IF($E102="","Add payment no.",IF(COUNTIFS($A$2:$A$300,$A102,$E$2:$E$300,$E102)&gt;1,"Duplicate payment no.",IF($F102="","Add payment date",IF(COUNT($G102:$I102)=0,"Add an amount","Ready")))))))</f>
        <v/>
      </c>
      <c r="P102" s="19"/>
      <c r="Q102" s="20"/>
    </row>
    <row r="103" customFormat="false" ht="15" hidden="false" customHeight="false" outlineLevel="0" collapsed="false">
      <c r="A103" s="12"/>
      <c r="B103" s="13" t="str">
        <f aca="false">IF($A103="","",IFERROR(INDEX('Loans (reference)'!$B$2:$B$500,MATCH($A103,'Loans (reference)'!$A$2:$A$500,0)),"not found"))</f>
        <v/>
      </c>
      <c r="C103" s="14" t="str">
        <f aca="false">IF($A103="","",IFERROR(INDEX('Loans (reference)'!$E$2:$E$500,MATCH($A103,'Loans (reference)'!$A$2:$A$500,0)),""))</f>
        <v/>
      </c>
      <c r="D103" s="13" t="str">
        <f aca="false">IF($A103="","",IFERROR(INDEX('Loans (reference)'!$K$2:$K$500,MATCH($A103,'Loans (reference)'!$A$2:$A$500,0)),""))</f>
        <v/>
      </c>
      <c r="E103" s="15"/>
      <c r="F103" s="16"/>
      <c r="G103" s="17"/>
      <c r="H103" s="17"/>
      <c r="I103" s="17"/>
      <c r="J103" s="17"/>
      <c r="K103" s="18" t="str">
        <f aca="false">IF(COUNT($G103:$I103)=0,"",SUM($G103:$I103))</f>
        <v/>
      </c>
      <c r="L103" s="15"/>
      <c r="M103" s="15"/>
      <c r="N103" s="15"/>
      <c r="O103" s="13" t="str">
        <f aca="false">IF(COUNTA($A103,$E103:$J103,$L103:$N103)=0,"",IF($A103="","Add Loan UID",IF(ISNA(MATCH($A103,'Loans (reference)'!$A$2:$A$500,0)),"UID not in Loans tab",IF($E103="","Add payment no.",IF(COUNTIFS($A$2:$A$300,$A103,$E$2:$E$300,$E103)&gt;1,"Duplicate payment no.",IF($F103="","Add payment date",IF(COUNT($G103:$I103)=0,"Add an amount","Ready")))))))</f>
        <v/>
      </c>
      <c r="P103" s="19"/>
      <c r="Q103" s="20"/>
    </row>
    <row r="104" customFormat="false" ht="15" hidden="false" customHeight="false" outlineLevel="0" collapsed="false">
      <c r="A104" s="12"/>
      <c r="B104" s="13" t="str">
        <f aca="false">IF($A104="","",IFERROR(INDEX('Loans (reference)'!$B$2:$B$500,MATCH($A104,'Loans (reference)'!$A$2:$A$500,0)),"not found"))</f>
        <v/>
      </c>
      <c r="C104" s="14" t="str">
        <f aca="false">IF($A104="","",IFERROR(INDEX('Loans (reference)'!$E$2:$E$500,MATCH($A104,'Loans (reference)'!$A$2:$A$500,0)),""))</f>
        <v/>
      </c>
      <c r="D104" s="13" t="str">
        <f aca="false">IF($A104="","",IFERROR(INDEX('Loans (reference)'!$K$2:$K$500,MATCH($A104,'Loans (reference)'!$A$2:$A$500,0)),""))</f>
        <v/>
      </c>
      <c r="E104" s="15"/>
      <c r="F104" s="16"/>
      <c r="G104" s="17"/>
      <c r="H104" s="17"/>
      <c r="I104" s="17"/>
      <c r="J104" s="17"/>
      <c r="K104" s="18" t="str">
        <f aca="false">IF(COUNT($G104:$I104)=0,"",SUM($G104:$I104))</f>
        <v/>
      </c>
      <c r="L104" s="15"/>
      <c r="M104" s="15"/>
      <c r="N104" s="15"/>
      <c r="O104" s="13" t="str">
        <f aca="false">IF(COUNTA($A104,$E104:$J104,$L104:$N104)=0,"",IF($A104="","Add Loan UID",IF(ISNA(MATCH($A104,'Loans (reference)'!$A$2:$A$500,0)),"UID not in Loans tab",IF($E104="","Add payment no.",IF(COUNTIFS($A$2:$A$300,$A104,$E$2:$E$300,$E104)&gt;1,"Duplicate payment no.",IF($F104="","Add payment date",IF(COUNT($G104:$I104)=0,"Add an amount","Ready")))))))</f>
        <v/>
      </c>
      <c r="P104" s="19"/>
      <c r="Q104" s="20"/>
    </row>
    <row r="105" customFormat="false" ht="15" hidden="false" customHeight="false" outlineLevel="0" collapsed="false">
      <c r="A105" s="12"/>
      <c r="B105" s="13" t="str">
        <f aca="false">IF($A105="","",IFERROR(INDEX('Loans (reference)'!$B$2:$B$500,MATCH($A105,'Loans (reference)'!$A$2:$A$500,0)),"not found"))</f>
        <v/>
      </c>
      <c r="C105" s="14" t="str">
        <f aca="false">IF($A105="","",IFERROR(INDEX('Loans (reference)'!$E$2:$E$500,MATCH($A105,'Loans (reference)'!$A$2:$A$500,0)),""))</f>
        <v/>
      </c>
      <c r="D105" s="13" t="str">
        <f aca="false">IF($A105="","",IFERROR(INDEX('Loans (reference)'!$K$2:$K$500,MATCH($A105,'Loans (reference)'!$A$2:$A$500,0)),""))</f>
        <v/>
      </c>
      <c r="E105" s="15"/>
      <c r="F105" s="16"/>
      <c r="G105" s="17"/>
      <c r="H105" s="17"/>
      <c r="I105" s="17"/>
      <c r="J105" s="17"/>
      <c r="K105" s="18" t="str">
        <f aca="false">IF(COUNT($G105:$I105)=0,"",SUM($G105:$I105))</f>
        <v/>
      </c>
      <c r="L105" s="15"/>
      <c r="M105" s="15"/>
      <c r="N105" s="15"/>
      <c r="O105" s="13" t="str">
        <f aca="false">IF(COUNTA($A105,$E105:$J105,$L105:$N105)=0,"",IF($A105="","Add Loan UID",IF(ISNA(MATCH($A105,'Loans (reference)'!$A$2:$A$500,0)),"UID not in Loans tab",IF($E105="","Add payment no.",IF(COUNTIFS($A$2:$A$300,$A105,$E$2:$E$300,$E105)&gt;1,"Duplicate payment no.",IF($F105="","Add payment date",IF(COUNT($G105:$I105)=0,"Add an amount","Ready")))))))</f>
        <v/>
      </c>
      <c r="P105" s="19"/>
      <c r="Q105" s="20"/>
    </row>
    <row r="106" customFormat="false" ht="15" hidden="false" customHeight="false" outlineLevel="0" collapsed="false">
      <c r="A106" s="12"/>
      <c r="B106" s="13" t="str">
        <f aca="false">IF($A106="","",IFERROR(INDEX('Loans (reference)'!$B$2:$B$500,MATCH($A106,'Loans (reference)'!$A$2:$A$500,0)),"not found"))</f>
        <v/>
      </c>
      <c r="C106" s="14" t="str">
        <f aca="false">IF($A106="","",IFERROR(INDEX('Loans (reference)'!$E$2:$E$500,MATCH($A106,'Loans (reference)'!$A$2:$A$500,0)),""))</f>
        <v/>
      </c>
      <c r="D106" s="13" t="str">
        <f aca="false">IF($A106="","",IFERROR(INDEX('Loans (reference)'!$K$2:$K$500,MATCH($A106,'Loans (reference)'!$A$2:$A$500,0)),""))</f>
        <v/>
      </c>
      <c r="E106" s="15"/>
      <c r="F106" s="16"/>
      <c r="G106" s="17"/>
      <c r="H106" s="17"/>
      <c r="I106" s="17"/>
      <c r="J106" s="17"/>
      <c r="K106" s="18" t="str">
        <f aca="false">IF(COUNT($G106:$I106)=0,"",SUM($G106:$I106))</f>
        <v/>
      </c>
      <c r="L106" s="15"/>
      <c r="M106" s="15"/>
      <c r="N106" s="15"/>
      <c r="O106" s="13" t="str">
        <f aca="false">IF(COUNTA($A106,$E106:$J106,$L106:$N106)=0,"",IF($A106="","Add Loan UID",IF(ISNA(MATCH($A106,'Loans (reference)'!$A$2:$A$500,0)),"UID not in Loans tab",IF($E106="","Add payment no.",IF(COUNTIFS($A$2:$A$300,$A106,$E$2:$E$300,$E106)&gt;1,"Duplicate payment no.",IF($F106="","Add payment date",IF(COUNT($G106:$I106)=0,"Add an amount","Ready")))))))</f>
        <v/>
      </c>
      <c r="P106" s="19"/>
      <c r="Q106" s="20"/>
    </row>
    <row r="107" customFormat="false" ht="15" hidden="false" customHeight="false" outlineLevel="0" collapsed="false">
      <c r="A107" s="12"/>
      <c r="B107" s="13" t="str">
        <f aca="false">IF($A107="","",IFERROR(INDEX('Loans (reference)'!$B$2:$B$500,MATCH($A107,'Loans (reference)'!$A$2:$A$500,0)),"not found"))</f>
        <v/>
      </c>
      <c r="C107" s="14" t="str">
        <f aca="false">IF($A107="","",IFERROR(INDEX('Loans (reference)'!$E$2:$E$500,MATCH($A107,'Loans (reference)'!$A$2:$A$500,0)),""))</f>
        <v/>
      </c>
      <c r="D107" s="13" t="str">
        <f aca="false">IF($A107="","",IFERROR(INDEX('Loans (reference)'!$K$2:$K$500,MATCH($A107,'Loans (reference)'!$A$2:$A$500,0)),""))</f>
        <v/>
      </c>
      <c r="E107" s="15"/>
      <c r="F107" s="16"/>
      <c r="G107" s="17"/>
      <c r="H107" s="17"/>
      <c r="I107" s="17"/>
      <c r="J107" s="17"/>
      <c r="K107" s="18" t="str">
        <f aca="false">IF(COUNT($G107:$I107)=0,"",SUM($G107:$I107))</f>
        <v/>
      </c>
      <c r="L107" s="15"/>
      <c r="M107" s="15"/>
      <c r="N107" s="15"/>
      <c r="O107" s="13" t="str">
        <f aca="false">IF(COUNTA($A107,$E107:$J107,$L107:$N107)=0,"",IF($A107="","Add Loan UID",IF(ISNA(MATCH($A107,'Loans (reference)'!$A$2:$A$500,0)),"UID not in Loans tab",IF($E107="","Add payment no.",IF(COUNTIFS($A$2:$A$300,$A107,$E$2:$E$300,$E107)&gt;1,"Duplicate payment no.",IF($F107="","Add payment date",IF(COUNT($G107:$I107)=0,"Add an amount","Ready")))))))</f>
        <v/>
      </c>
      <c r="P107" s="19"/>
      <c r="Q107" s="20"/>
    </row>
    <row r="108" customFormat="false" ht="15" hidden="false" customHeight="false" outlineLevel="0" collapsed="false">
      <c r="A108" s="12"/>
      <c r="B108" s="13" t="str">
        <f aca="false">IF($A108="","",IFERROR(INDEX('Loans (reference)'!$B$2:$B$500,MATCH($A108,'Loans (reference)'!$A$2:$A$500,0)),"not found"))</f>
        <v/>
      </c>
      <c r="C108" s="14" t="str">
        <f aca="false">IF($A108="","",IFERROR(INDEX('Loans (reference)'!$E$2:$E$500,MATCH($A108,'Loans (reference)'!$A$2:$A$500,0)),""))</f>
        <v/>
      </c>
      <c r="D108" s="13" t="str">
        <f aca="false">IF($A108="","",IFERROR(INDEX('Loans (reference)'!$K$2:$K$500,MATCH($A108,'Loans (reference)'!$A$2:$A$500,0)),""))</f>
        <v/>
      </c>
      <c r="E108" s="15"/>
      <c r="F108" s="16"/>
      <c r="G108" s="17"/>
      <c r="H108" s="17"/>
      <c r="I108" s="17"/>
      <c r="J108" s="17"/>
      <c r="K108" s="18" t="str">
        <f aca="false">IF(COUNT($G108:$I108)=0,"",SUM($G108:$I108))</f>
        <v/>
      </c>
      <c r="L108" s="15"/>
      <c r="M108" s="15"/>
      <c r="N108" s="15"/>
      <c r="O108" s="13" t="str">
        <f aca="false">IF(COUNTA($A108,$E108:$J108,$L108:$N108)=0,"",IF($A108="","Add Loan UID",IF(ISNA(MATCH($A108,'Loans (reference)'!$A$2:$A$500,0)),"UID not in Loans tab",IF($E108="","Add payment no.",IF(COUNTIFS($A$2:$A$300,$A108,$E$2:$E$300,$E108)&gt;1,"Duplicate payment no.",IF($F108="","Add payment date",IF(COUNT($G108:$I108)=0,"Add an amount","Ready")))))))</f>
        <v/>
      </c>
      <c r="P108" s="19"/>
      <c r="Q108" s="20"/>
    </row>
    <row r="109" customFormat="false" ht="15" hidden="false" customHeight="false" outlineLevel="0" collapsed="false">
      <c r="A109" s="12"/>
      <c r="B109" s="13" t="str">
        <f aca="false">IF($A109="","",IFERROR(INDEX('Loans (reference)'!$B$2:$B$500,MATCH($A109,'Loans (reference)'!$A$2:$A$500,0)),"not found"))</f>
        <v/>
      </c>
      <c r="C109" s="14" t="str">
        <f aca="false">IF($A109="","",IFERROR(INDEX('Loans (reference)'!$E$2:$E$500,MATCH($A109,'Loans (reference)'!$A$2:$A$500,0)),""))</f>
        <v/>
      </c>
      <c r="D109" s="13" t="str">
        <f aca="false">IF($A109="","",IFERROR(INDEX('Loans (reference)'!$K$2:$K$500,MATCH($A109,'Loans (reference)'!$A$2:$A$500,0)),""))</f>
        <v/>
      </c>
      <c r="E109" s="15"/>
      <c r="F109" s="16"/>
      <c r="G109" s="17"/>
      <c r="H109" s="17"/>
      <c r="I109" s="17"/>
      <c r="J109" s="17"/>
      <c r="K109" s="18" t="str">
        <f aca="false">IF(COUNT($G109:$I109)=0,"",SUM($G109:$I109))</f>
        <v/>
      </c>
      <c r="L109" s="15"/>
      <c r="M109" s="15"/>
      <c r="N109" s="15"/>
      <c r="O109" s="13" t="str">
        <f aca="false">IF(COUNTA($A109,$E109:$J109,$L109:$N109)=0,"",IF($A109="","Add Loan UID",IF(ISNA(MATCH($A109,'Loans (reference)'!$A$2:$A$500,0)),"UID not in Loans tab",IF($E109="","Add payment no.",IF(COUNTIFS($A$2:$A$300,$A109,$E$2:$E$300,$E109)&gt;1,"Duplicate payment no.",IF($F109="","Add payment date",IF(COUNT($G109:$I109)=0,"Add an amount","Ready")))))))</f>
        <v/>
      </c>
      <c r="P109" s="19"/>
      <c r="Q109" s="20"/>
    </row>
    <row r="110" customFormat="false" ht="15" hidden="false" customHeight="false" outlineLevel="0" collapsed="false">
      <c r="A110" s="12"/>
      <c r="B110" s="13" t="str">
        <f aca="false">IF($A110="","",IFERROR(INDEX('Loans (reference)'!$B$2:$B$500,MATCH($A110,'Loans (reference)'!$A$2:$A$500,0)),"not found"))</f>
        <v/>
      </c>
      <c r="C110" s="14" t="str">
        <f aca="false">IF($A110="","",IFERROR(INDEX('Loans (reference)'!$E$2:$E$500,MATCH($A110,'Loans (reference)'!$A$2:$A$500,0)),""))</f>
        <v/>
      </c>
      <c r="D110" s="13" t="str">
        <f aca="false">IF($A110="","",IFERROR(INDEX('Loans (reference)'!$K$2:$K$500,MATCH($A110,'Loans (reference)'!$A$2:$A$500,0)),""))</f>
        <v/>
      </c>
      <c r="E110" s="15"/>
      <c r="F110" s="16"/>
      <c r="G110" s="17"/>
      <c r="H110" s="17"/>
      <c r="I110" s="17"/>
      <c r="J110" s="17"/>
      <c r="K110" s="18" t="str">
        <f aca="false">IF(COUNT($G110:$I110)=0,"",SUM($G110:$I110))</f>
        <v/>
      </c>
      <c r="L110" s="15"/>
      <c r="M110" s="15"/>
      <c r="N110" s="15"/>
      <c r="O110" s="13" t="str">
        <f aca="false">IF(COUNTA($A110,$E110:$J110,$L110:$N110)=0,"",IF($A110="","Add Loan UID",IF(ISNA(MATCH($A110,'Loans (reference)'!$A$2:$A$500,0)),"UID not in Loans tab",IF($E110="","Add payment no.",IF(COUNTIFS($A$2:$A$300,$A110,$E$2:$E$300,$E110)&gt;1,"Duplicate payment no.",IF($F110="","Add payment date",IF(COUNT($G110:$I110)=0,"Add an amount","Ready")))))))</f>
        <v/>
      </c>
      <c r="P110" s="19"/>
      <c r="Q110" s="20"/>
    </row>
    <row r="111" customFormat="false" ht="15" hidden="false" customHeight="false" outlineLevel="0" collapsed="false">
      <c r="A111" s="12"/>
      <c r="B111" s="13" t="str">
        <f aca="false">IF($A111="","",IFERROR(INDEX('Loans (reference)'!$B$2:$B$500,MATCH($A111,'Loans (reference)'!$A$2:$A$500,0)),"not found"))</f>
        <v/>
      </c>
      <c r="C111" s="14" t="str">
        <f aca="false">IF($A111="","",IFERROR(INDEX('Loans (reference)'!$E$2:$E$500,MATCH($A111,'Loans (reference)'!$A$2:$A$500,0)),""))</f>
        <v/>
      </c>
      <c r="D111" s="13" t="str">
        <f aca="false">IF($A111="","",IFERROR(INDEX('Loans (reference)'!$K$2:$K$500,MATCH($A111,'Loans (reference)'!$A$2:$A$500,0)),""))</f>
        <v/>
      </c>
      <c r="E111" s="15"/>
      <c r="F111" s="16"/>
      <c r="G111" s="17"/>
      <c r="H111" s="17"/>
      <c r="I111" s="17"/>
      <c r="J111" s="17"/>
      <c r="K111" s="18" t="str">
        <f aca="false">IF(COUNT($G111:$I111)=0,"",SUM($G111:$I111))</f>
        <v/>
      </c>
      <c r="L111" s="15"/>
      <c r="M111" s="15"/>
      <c r="N111" s="15"/>
      <c r="O111" s="13" t="str">
        <f aca="false">IF(COUNTA($A111,$E111:$J111,$L111:$N111)=0,"",IF($A111="","Add Loan UID",IF(ISNA(MATCH($A111,'Loans (reference)'!$A$2:$A$500,0)),"UID not in Loans tab",IF($E111="","Add payment no.",IF(COUNTIFS($A$2:$A$300,$A111,$E$2:$E$300,$E111)&gt;1,"Duplicate payment no.",IF($F111="","Add payment date",IF(COUNT($G111:$I111)=0,"Add an amount","Ready")))))))</f>
        <v/>
      </c>
      <c r="P111" s="19"/>
      <c r="Q111" s="20"/>
    </row>
    <row r="112" customFormat="false" ht="15" hidden="false" customHeight="false" outlineLevel="0" collapsed="false">
      <c r="A112" s="12"/>
      <c r="B112" s="13" t="str">
        <f aca="false">IF($A112="","",IFERROR(INDEX('Loans (reference)'!$B$2:$B$500,MATCH($A112,'Loans (reference)'!$A$2:$A$500,0)),"not found"))</f>
        <v/>
      </c>
      <c r="C112" s="14" t="str">
        <f aca="false">IF($A112="","",IFERROR(INDEX('Loans (reference)'!$E$2:$E$500,MATCH($A112,'Loans (reference)'!$A$2:$A$500,0)),""))</f>
        <v/>
      </c>
      <c r="D112" s="13" t="str">
        <f aca="false">IF($A112="","",IFERROR(INDEX('Loans (reference)'!$K$2:$K$500,MATCH($A112,'Loans (reference)'!$A$2:$A$500,0)),""))</f>
        <v/>
      </c>
      <c r="E112" s="15"/>
      <c r="F112" s="16"/>
      <c r="G112" s="17"/>
      <c r="H112" s="17"/>
      <c r="I112" s="17"/>
      <c r="J112" s="17"/>
      <c r="K112" s="18" t="str">
        <f aca="false">IF(COUNT($G112:$I112)=0,"",SUM($G112:$I112))</f>
        <v/>
      </c>
      <c r="L112" s="15"/>
      <c r="M112" s="15"/>
      <c r="N112" s="15"/>
      <c r="O112" s="13" t="str">
        <f aca="false">IF(COUNTA($A112,$E112:$J112,$L112:$N112)=0,"",IF($A112="","Add Loan UID",IF(ISNA(MATCH($A112,'Loans (reference)'!$A$2:$A$500,0)),"UID not in Loans tab",IF($E112="","Add payment no.",IF(COUNTIFS($A$2:$A$300,$A112,$E$2:$E$300,$E112)&gt;1,"Duplicate payment no.",IF($F112="","Add payment date",IF(COUNT($G112:$I112)=0,"Add an amount","Ready")))))))</f>
        <v/>
      </c>
      <c r="P112" s="19"/>
      <c r="Q112" s="20"/>
    </row>
    <row r="113" customFormat="false" ht="15" hidden="false" customHeight="false" outlineLevel="0" collapsed="false">
      <c r="A113" s="12"/>
      <c r="B113" s="13" t="str">
        <f aca="false">IF($A113="","",IFERROR(INDEX('Loans (reference)'!$B$2:$B$500,MATCH($A113,'Loans (reference)'!$A$2:$A$500,0)),"not found"))</f>
        <v/>
      </c>
      <c r="C113" s="14" t="str">
        <f aca="false">IF($A113="","",IFERROR(INDEX('Loans (reference)'!$E$2:$E$500,MATCH($A113,'Loans (reference)'!$A$2:$A$500,0)),""))</f>
        <v/>
      </c>
      <c r="D113" s="13" t="str">
        <f aca="false">IF($A113="","",IFERROR(INDEX('Loans (reference)'!$K$2:$K$500,MATCH($A113,'Loans (reference)'!$A$2:$A$500,0)),""))</f>
        <v/>
      </c>
      <c r="E113" s="15"/>
      <c r="F113" s="16"/>
      <c r="G113" s="17"/>
      <c r="H113" s="17"/>
      <c r="I113" s="17"/>
      <c r="J113" s="17"/>
      <c r="K113" s="18" t="str">
        <f aca="false">IF(COUNT($G113:$I113)=0,"",SUM($G113:$I113))</f>
        <v/>
      </c>
      <c r="L113" s="15"/>
      <c r="M113" s="15"/>
      <c r="N113" s="15"/>
      <c r="O113" s="13" t="str">
        <f aca="false">IF(COUNTA($A113,$E113:$J113,$L113:$N113)=0,"",IF($A113="","Add Loan UID",IF(ISNA(MATCH($A113,'Loans (reference)'!$A$2:$A$500,0)),"UID not in Loans tab",IF($E113="","Add payment no.",IF(COUNTIFS($A$2:$A$300,$A113,$E$2:$E$300,$E113)&gt;1,"Duplicate payment no.",IF($F113="","Add payment date",IF(COUNT($G113:$I113)=0,"Add an amount","Ready")))))))</f>
        <v/>
      </c>
      <c r="P113" s="19"/>
      <c r="Q113" s="20"/>
    </row>
    <row r="114" customFormat="false" ht="15" hidden="false" customHeight="false" outlineLevel="0" collapsed="false">
      <c r="A114" s="12"/>
      <c r="B114" s="13" t="str">
        <f aca="false">IF($A114="","",IFERROR(INDEX('Loans (reference)'!$B$2:$B$500,MATCH($A114,'Loans (reference)'!$A$2:$A$500,0)),"not found"))</f>
        <v/>
      </c>
      <c r="C114" s="14" t="str">
        <f aca="false">IF($A114="","",IFERROR(INDEX('Loans (reference)'!$E$2:$E$500,MATCH($A114,'Loans (reference)'!$A$2:$A$500,0)),""))</f>
        <v/>
      </c>
      <c r="D114" s="13" t="str">
        <f aca="false">IF($A114="","",IFERROR(INDEX('Loans (reference)'!$K$2:$K$500,MATCH($A114,'Loans (reference)'!$A$2:$A$500,0)),""))</f>
        <v/>
      </c>
      <c r="E114" s="15"/>
      <c r="F114" s="16"/>
      <c r="G114" s="17"/>
      <c r="H114" s="17"/>
      <c r="I114" s="17"/>
      <c r="J114" s="17"/>
      <c r="K114" s="18" t="str">
        <f aca="false">IF(COUNT($G114:$I114)=0,"",SUM($G114:$I114))</f>
        <v/>
      </c>
      <c r="L114" s="15"/>
      <c r="M114" s="15"/>
      <c r="N114" s="15"/>
      <c r="O114" s="13" t="str">
        <f aca="false">IF(COUNTA($A114,$E114:$J114,$L114:$N114)=0,"",IF($A114="","Add Loan UID",IF(ISNA(MATCH($A114,'Loans (reference)'!$A$2:$A$500,0)),"UID not in Loans tab",IF($E114="","Add payment no.",IF(COUNTIFS($A$2:$A$300,$A114,$E$2:$E$300,$E114)&gt;1,"Duplicate payment no.",IF($F114="","Add payment date",IF(COUNT($G114:$I114)=0,"Add an amount","Ready")))))))</f>
        <v/>
      </c>
      <c r="P114" s="19"/>
      <c r="Q114" s="20"/>
    </row>
    <row r="115" customFormat="false" ht="15" hidden="false" customHeight="false" outlineLevel="0" collapsed="false">
      <c r="A115" s="12"/>
      <c r="B115" s="13" t="str">
        <f aca="false">IF($A115="","",IFERROR(INDEX('Loans (reference)'!$B$2:$B$500,MATCH($A115,'Loans (reference)'!$A$2:$A$500,0)),"not found"))</f>
        <v/>
      </c>
      <c r="C115" s="14" t="str">
        <f aca="false">IF($A115="","",IFERROR(INDEX('Loans (reference)'!$E$2:$E$500,MATCH($A115,'Loans (reference)'!$A$2:$A$500,0)),""))</f>
        <v/>
      </c>
      <c r="D115" s="13" t="str">
        <f aca="false">IF($A115="","",IFERROR(INDEX('Loans (reference)'!$K$2:$K$500,MATCH($A115,'Loans (reference)'!$A$2:$A$500,0)),""))</f>
        <v/>
      </c>
      <c r="E115" s="15"/>
      <c r="F115" s="16"/>
      <c r="G115" s="17"/>
      <c r="H115" s="17"/>
      <c r="I115" s="17"/>
      <c r="J115" s="17"/>
      <c r="K115" s="18" t="str">
        <f aca="false">IF(COUNT($G115:$I115)=0,"",SUM($G115:$I115))</f>
        <v/>
      </c>
      <c r="L115" s="15"/>
      <c r="M115" s="15"/>
      <c r="N115" s="15"/>
      <c r="O115" s="13" t="str">
        <f aca="false">IF(COUNTA($A115,$E115:$J115,$L115:$N115)=0,"",IF($A115="","Add Loan UID",IF(ISNA(MATCH($A115,'Loans (reference)'!$A$2:$A$500,0)),"UID not in Loans tab",IF($E115="","Add payment no.",IF(COUNTIFS($A$2:$A$300,$A115,$E$2:$E$300,$E115)&gt;1,"Duplicate payment no.",IF($F115="","Add payment date",IF(COUNT($G115:$I115)=0,"Add an amount","Ready")))))))</f>
        <v/>
      </c>
      <c r="P115" s="19"/>
      <c r="Q115" s="20"/>
    </row>
    <row r="116" customFormat="false" ht="15" hidden="false" customHeight="false" outlineLevel="0" collapsed="false">
      <c r="A116" s="12"/>
      <c r="B116" s="13" t="str">
        <f aca="false">IF($A116="","",IFERROR(INDEX('Loans (reference)'!$B$2:$B$500,MATCH($A116,'Loans (reference)'!$A$2:$A$500,0)),"not found"))</f>
        <v/>
      </c>
      <c r="C116" s="14" t="str">
        <f aca="false">IF($A116="","",IFERROR(INDEX('Loans (reference)'!$E$2:$E$500,MATCH($A116,'Loans (reference)'!$A$2:$A$500,0)),""))</f>
        <v/>
      </c>
      <c r="D116" s="13" t="str">
        <f aca="false">IF($A116="","",IFERROR(INDEX('Loans (reference)'!$K$2:$K$500,MATCH($A116,'Loans (reference)'!$A$2:$A$500,0)),""))</f>
        <v/>
      </c>
      <c r="E116" s="15"/>
      <c r="F116" s="16"/>
      <c r="G116" s="17"/>
      <c r="H116" s="17"/>
      <c r="I116" s="17"/>
      <c r="J116" s="17"/>
      <c r="K116" s="18" t="str">
        <f aca="false">IF(COUNT($G116:$I116)=0,"",SUM($G116:$I116))</f>
        <v/>
      </c>
      <c r="L116" s="15"/>
      <c r="M116" s="15"/>
      <c r="N116" s="15"/>
      <c r="O116" s="13" t="str">
        <f aca="false">IF(COUNTA($A116,$E116:$J116,$L116:$N116)=0,"",IF($A116="","Add Loan UID",IF(ISNA(MATCH($A116,'Loans (reference)'!$A$2:$A$500,0)),"UID not in Loans tab",IF($E116="","Add payment no.",IF(COUNTIFS($A$2:$A$300,$A116,$E$2:$E$300,$E116)&gt;1,"Duplicate payment no.",IF($F116="","Add payment date",IF(COUNT($G116:$I116)=0,"Add an amount","Ready")))))))</f>
        <v/>
      </c>
      <c r="P116" s="19"/>
      <c r="Q116" s="20"/>
    </row>
    <row r="117" customFormat="false" ht="15" hidden="false" customHeight="false" outlineLevel="0" collapsed="false">
      <c r="A117" s="12"/>
      <c r="B117" s="13" t="str">
        <f aca="false">IF($A117="","",IFERROR(INDEX('Loans (reference)'!$B$2:$B$500,MATCH($A117,'Loans (reference)'!$A$2:$A$500,0)),"not found"))</f>
        <v/>
      </c>
      <c r="C117" s="14" t="str">
        <f aca="false">IF($A117="","",IFERROR(INDEX('Loans (reference)'!$E$2:$E$500,MATCH($A117,'Loans (reference)'!$A$2:$A$500,0)),""))</f>
        <v/>
      </c>
      <c r="D117" s="13" t="str">
        <f aca="false">IF($A117="","",IFERROR(INDEX('Loans (reference)'!$K$2:$K$500,MATCH($A117,'Loans (reference)'!$A$2:$A$500,0)),""))</f>
        <v/>
      </c>
      <c r="E117" s="15"/>
      <c r="F117" s="16"/>
      <c r="G117" s="17"/>
      <c r="H117" s="17"/>
      <c r="I117" s="17"/>
      <c r="J117" s="17"/>
      <c r="K117" s="18" t="str">
        <f aca="false">IF(COUNT($G117:$I117)=0,"",SUM($G117:$I117))</f>
        <v/>
      </c>
      <c r="L117" s="15"/>
      <c r="M117" s="15"/>
      <c r="N117" s="15"/>
      <c r="O117" s="13" t="str">
        <f aca="false">IF(COUNTA($A117,$E117:$J117,$L117:$N117)=0,"",IF($A117="","Add Loan UID",IF(ISNA(MATCH($A117,'Loans (reference)'!$A$2:$A$500,0)),"UID not in Loans tab",IF($E117="","Add payment no.",IF(COUNTIFS($A$2:$A$300,$A117,$E$2:$E$300,$E117)&gt;1,"Duplicate payment no.",IF($F117="","Add payment date",IF(COUNT($G117:$I117)=0,"Add an amount","Ready")))))))</f>
        <v/>
      </c>
      <c r="P117" s="19"/>
      <c r="Q117" s="20"/>
    </row>
    <row r="118" customFormat="false" ht="15" hidden="false" customHeight="false" outlineLevel="0" collapsed="false">
      <c r="A118" s="12"/>
      <c r="B118" s="13" t="str">
        <f aca="false">IF($A118="","",IFERROR(INDEX('Loans (reference)'!$B$2:$B$500,MATCH($A118,'Loans (reference)'!$A$2:$A$500,0)),"not found"))</f>
        <v/>
      </c>
      <c r="C118" s="14" t="str">
        <f aca="false">IF($A118="","",IFERROR(INDEX('Loans (reference)'!$E$2:$E$500,MATCH($A118,'Loans (reference)'!$A$2:$A$500,0)),""))</f>
        <v/>
      </c>
      <c r="D118" s="13" t="str">
        <f aca="false">IF($A118="","",IFERROR(INDEX('Loans (reference)'!$K$2:$K$500,MATCH($A118,'Loans (reference)'!$A$2:$A$500,0)),""))</f>
        <v/>
      </c>
      <c r="E118" s="15"/>
      <c r="F118" s="16"/>
      <c r="G118" s="17"/>
      <c r="H118" s="17"/>
      <c r="I118" s="17"/>
      <c r="J118" s="17"/>
      <c r="K118" s="18" t="str">
        <f aca="false">IF(COUNT($G118:$I118)=0,"",SUM($G118:$I118))</f>
        <v/>
      </c>
      <c r="L118" s="15"/>
      <c r="M118" s="15"/>
      <c r="N118" s="15"/>
      <c r="O118" s="13" t="str">
        <f aca="false">IF(COUNTA($A118,$E118:$J118,$L118:$N118)=0,"",IF($A118="","Add Loan UID",IF(ISNA(MATCH($A118,'Loans (reference)'!$A$2:$A$500,0)),"UID not in Loans tab",IF($E118="","Add payment no.",IF(COUNTIFS($A$2:$A$300,$A118,$E$2:$E$300,$E118)&gt;1,"Duplicate payment no.",IF($F118="","Add payment date",IF(COUNT($G118:$I118)=0,"Add an amount","Ready")))))))</f>
        <v/>
      </c>
      <c r="P118" s="19"/>
      <c r="Q118" s="20"/>
    </row>
    <row r="119" customFormat="false" ht="15" hidden="false" customHeight="false" outlineLevel="0" collapsed="false">
      <c r="A119" s="12"/>
      <c r="B119" s="13" t="str">
        <f aca="false">IF($A119="","",IFERROR(INDEX('Loans (reference)'!$B$2:$B$500,MATCH($A119,'Loans (reference)'!$A$2:$A$500,0)),"not found"))</f>
        <v/>
      </c>
      <c r="C119" s="14" t="str">
        <f aca="false">IF($A119="","",IFERROR(INDEX('Loans (reference)'!$E$2:$E$500,MATCH($A119,'Loans (reference)'!$A$2:$A$500,0)),""))</f>
        <v/>
      </c>
      <c r="D119" s="13" t="str">
        <f aca="false">IF($A119="","",IFERROR(INDEX('Loans (reference)'!$K$2:$K$500,MATCH($A119,'Loans (reference)'!$A$2:$A$500,0)),""))</f>
        <v/>
      </c>
      <c r="E119" s="15"/>
      <c r="F119" s="16"/>
      <c r="G119" s="17"/>
      <c r="H119" s="17"/>
      <c r="I119" s="17"/>
      <c r="J119" s="17"/>
      <c r="K119" s="18" t="str">
        <f aca="false">IF(COUNT($G119:$I119)=0,"",SUM($G119:$I119))</f>
        <v/>
      </c>
      <c r="L119" s="15"/>
      <c r="M119" s="15"/>
      <c r="N119" s="15"/>
      <c r="O119" s="13" t="str">
        <f aca="false">IF(COUNTA($A119,$E119:$J119,$L119:$N119)=0,"",IF($A119="","Add Loan UID",IF(ISNA(MATCH($A119,'Loans (reference)'!$A$2:$A$500,0)),"UID not in Loans tab",IF($E119="","Add payment no.",IF(COUNTIFS($A$2:$A$300,$A119,$E$2:$E$300,$E119)&gt;1,"Duplicate payment no.",IF($F119="","Add payment date",IF(COUNT($G119:$I119)=0,"Add an amount","Ready")))))))</f>
        <v/>
      </c>
      <c r="P119" s="19"/>
      <c r="Q119" s="20"/>
    </row>
    <row r="120" customFormat="false" ht="15" hidden="false" customHeight="false" outlineLevel="0" collapsed="false">
      <c r="A120" s="12"/>
      <c r="B120" s="13" t="str">
        <f aca="false">IF($A120="","",IFERROR(INDEX('Loans (reference)'!$B$2:$B$500,MATCH($A120,'Loans (reference)'!$A$2:$A$500,0)),"not found"))</f>
        <v/>
      </c>
      <c r="C120" s="14" t="str">
        <f aca="false">IF($A120="","",IFERROR(INDEX('Loans (reference)'!$E$2:$E$500,MATCH($A120,'Loans (reference)'!$A$2:$A$500,0)),""))</f>
        <v/>
      </c>
      <c r="D120" s="13" t="str">
        <f aca="false">IF($A120="","",IFERROR(INDEX('Loans (reference)'!$K$2:$K$500,MATCH($A120,'Loans (reference)'!$A$2:$A$500,0)),""))</f>
        <v/>
      </c>
      <c r="E120" s="15"/>
      <c r="F120" s="16"/>
      <c r="G120" s="17"/>
      <c r="H120" s="17"/>
      <c r="I120" s="17"/>
      <c r="J120" s="17"/>
      <c r="K120" s="18" t="str">
        <f aca="false">IF(COUNT($G120:$I120)=0,"",SUM($G120:$I120))</f>
        <v/>
      </c>
      <c r="L120" s="15"/>
      <c r="M120" s="15"/>
      <c r="N120" s="15"/>
      <c r="O120" s="13" t="str">
        <f aca="false">IF(COUNTA($A120,$E120:$J120,$L120:$N120)=0,"",IF($A120="","Add Loan UID",IF(ISNA(MATCH($A120,'Loans (reference)'!$A$2:$A$500,0)),"UID not in Loans tab",IF($E120="","Add payment no.",IF(COUNTIFS($A$2:$A$300,$A120,$E$2:$E$300,$E120)&gt;1,"Duplicate payment no.",IF($F120="","Add payment date",IF(COUNT($G120:$I120)=0,"Add an amount","Ready")))))))</f>
        <v/>
      </c>
      <c r="P120" s="19"/>
      <c r="Q120" s="20"/>
    </row>
    <row r="121" customFormat="false" ht="15" hidden="false" customHeight="false" outlineLevel="0" collapsed="false">
      <c r="A121" s="12"/>
      <c r="B121" s="13" t="str">
        <f aca="false">IF($A121="","",IFERROR(INDEX('Loans (reference)'!$B$2:$B$500,MATCH($A121,'Loans (reference)'!$A$2:$A$500,0)),"not found"))</f>
        <v/>
      </c>
      <c r="C121" s="14" t="str">
        <f aca="false">IF($A121="","",IFERROR(INDEX('Loans (reference)'!$E$2:$E$500,MATCH($A121,'Loans (reference)'!$A$2:$A$500,0)),""))</f>
        <v/>
      </c>
      <c r="D121" s="13" t="str">
        <f aca="false">IF($A121="","",IFERROR(INDEX('Loans (reference)'!$K$2:$K$500,MATCH($A121,'Loans (reference)'!$A$2:$A$500,0)),""))</f>
        <v/>
      </c>
      <c r="E121" s="15"/>
      <c r="F121" s="16"/>
      <c r="G121" s="17"/>
      <c r="H121" s="17"/>
      <c r="I121" s="17"/>
      <c r="J121" s="17"/>
      <c r="K121" s="18" t="str">
        <f aca="false">IF(COUNT($G121:$I121)=0,"",SUM($G121:$I121))</f>
        <v/>
      </c>
      <c r="L121" s="15"/>
      <c r="M121" s="15"/>
      <c r="N121" s="15"/>
      <c r="O121" s="13" t="str">
        <f aca="false">IF(COUNTA($A121,$E121:$J121,$L121:$N121)=0,"",IF($A121="","Add Loan UID",IF(ISNA(MATCH($A121,'Loans (reference)'!$A$2:$A$500,0)),"UID not in Loans tab",IF($E121="","Add payment no.",IF(COUNTIFS($A$2:$A$300,$A121,$E$2:$E$300,$E121)&gt;1,"Duplicate payment no.",IF($F121="","Add payment date",IF(COUNT($G121:$I121)=0,"Add an amount","Ready")))))))</f>
        <v/>
      </c>
      <c r="P121" s="19"/>
      <c r="Q121" s="20"/>
    </row>
    <row r="122" customFormat="false" ht="15" hidden="false" customHeight="false" outlineLevel="0" collapsed="false">
      <c r="A122" s="12"/>
      <c r="B122" s="13" t="str">
        <f aca="false">IF($A122="","",IFERROR(INDEX('Loans (reference)'!$B$2:$B$500,MATCH($A122,'Loans (reference)'!$A$2:$A$500,0)),"not found"))</f>
        <v/>
      </c>
      <c r="C122" s="14" t="str">
        <f aca="false">IF($A122="","",IFERROR(INDEX('Loans (reference)'!$E$2:$E$500,MATCH($A122,'Loans (reference)'!$A$2:$A$500,0)),""))</f>
        <v/>
      </c>
      <c r="D122" s="13" t="str">
        <f aca="false">IF($A122="","",IFERROR(INDEX('Loans (reference)'!$K$2:$K$500,MATCH($A122,'Loans (reference)'!$A$2:$A$500,0)),""))</f>
        <v/>
      </c>
      <c r="E122" s="15"/>
      <c r="F122" s="16"/>
      <c r="G122" s="17"/>
      <c r="H122" s="17"/>
      <c r="I122" s="17"/>
      <c r="J122" s="17"/>
      <c r="K122" s="18" t="str">
        <f aca="false">IF(COUNT($G122:$I122)=0,"",SUM($G122:$I122))</f>
        <v/>
      </c>
      <c r="L122" s="15"/>
      <c r="M122" s="15"/>
      <c r="N122" s="15"/>
      <c r="O122" s="13" t="str">
        <f aca="false">IF(COUNTA($A122,$E122:$J122,$L122:$N122)=0,"",IF($A122="","Add Loan UID",IF(ISNA(MATCH($A122,'Loans (reference)'!$A$2:$A$500,0)),"UID not in Loans tab",IF($E122="","Add payment no.",IF(COUNTIFS($A$2:$A$300,$A122,$E$2:$E$300,$E122)&gt;1,"Duplicate payment no.",IF($F122="","Add payment date",IF(COUNT($G122:$I122)=0,"Add an amount","Ready")))))))</f>
        <v/>
      </c>
      <c r="P122" s="19"/>
      <c r="Q122" s="20"/>
    </row>
    <row r="123" customFormat="false" ht="15" hidden="false" customHeight="false" outlineLevel="0" collapsed="false">
      <c r="A123" s="12"/>
      <c r="B123" s="13" t="str">
        <f aca="false">IF($A123="","",IFERROR(INDEX('Loans (reference)'!$B$2:$B$500,MATCH($A123,'Loans (reference)'!$A$2:$A$500,0)),"not found"))</f>
        <v/>
      </c>
      <c r="C123" s="14" t="str">
        <f aca="false">IF($A123="","",IFERROR(INDEX('Loans (reference)'!$E$2:$E$500,MATCH($A123,'Loans (reference)'!$A$2:$A$500,0)),""))</f>
        <v/>
      </c>
      <c r="D123" s="13" t="str">
        <f aca="false">IF($A123="","",IFERROR(INDEX('Loans (reference)'!$K$2:$K$500,MATCH($A123,'Loans (reference)'!$A$2:$A$500,0)),""))</f>
        <v/>
      </c>
      <c r="E123" s="15"/>
      <c r="F123" s="16"/>
      <c r="G123" s="17"/>
      <c r="H123" s="17"/>
      <c r="I123" s="17"/>
      <c r="J123" s="17"/>
      <c r="K123" s="18" t="str">
        <f aca="false">IF(COUNT($G123:$I123)=0,"",SUM($G123:$I123))</f>
        <v/>
      </c>
      <c r="L123" s="15"/>
      <c r="M123" s="15"/>
      <c r="N123" s="15"/>
      <c r="O123" s="13" t="str">
        <f aca="false">IF(COUNTA($A123,$E123:$J123,$L123:$N123)=0,"",IF($A123="","Add Loan UID",IF(ISNA(MATCH($A123,'Loans (reference)'!$A$2:$A$500,0)),"UID not in Loans tab",IF($E123="","Add payment no.",IF(COUNTIFS($A$2:$A$300,$A123,$E$2:$E$300,$E123)&gt;1,"Duplicate payment no.",IF($F123="","Add payment date",IF(COUNT($G123:$I123)=0,"Add an amount","Ready")))))))</f>
        <v/>
      </c>
      <c r="P123" s="19"/>
      <c r="Q123" s="20"/>
    </row>
    <row r="124" customFormat="false" ht="15" hidden="false" customHeight="false" outlineLevel="0" collapsed="false">
      <c r="A124" s="12"/>
      <c r="B124" s="13" t="str">
        <f aca="false">IF($A124="","",IFERROR(INDEX('Loans (reference)'!$B$2:$B$500,MATCH($A124,'Loans (reference)'!$A$2:$A$500,0)),"not found"))</f>
        <v/>
      </c>
      <c r="C124" s="14" t="str">
        <f aca="false">IF($A124="","",IFERROR(INDEX('Loans (reference)'!$E$2:$E$500,MATCH($A124,'Loans (reference)'!$A$2:$A$500,0)),""))</f>
        <v/>
      </c>
      <c r="D124" s="13" t="str">
        <f aca="false">IF($A124="","",IFERROR(INDEX('Loans (reference)'!$K$2:$K$500,MATCH($A124,'Loans (reference)'!$A$2:$A$500,0)),""))</f>
        <v/>
      </c>
      <c r="E124" s="15"/>
      <c r="F124" s="16"/>
      <c r="G124" s="17"/>
      <c r="H124" s="17"/>
      <c r="I124" s="17"/>
      <c r="J124" s="17"/>
      <c r="K124" s="18" t="str">
        <f aca="false">IF(COUNT($G124:$I124)=0,"",SUM($G124:$I124))</f>
        <v/>
      </c>
      <c r="L124" s="15"/>
      <c r="M124" s="15"/>
      <c r="N124" s="15"/>
      <c r="O124" s="13" t="str">
        <f aca="false">IF(COUNTA($A124,$E124:$J124,$L124:$N124)=0,"",IF($A124="","Add Loan UID",IF(ISNA(MATCH($A124,'Loans (reference)'!$A$2:$A$500,0)),"UID not in Loans tab",IF($E124="","Add payment no.",IF(COUNTIFS($A$2:$A$300,$A124,$E$2:$E$300,$E124)&gt;1,"Duplicate payment no.",IF($F124="","Add payment date",IF(COUNT($G124:$I124)=0,"Add an amount","Ready")))))))</f>
        <v/>
      </c>
      <c r="P124" s="19"/>
      <c r="Q124" s="20"/>
    </row>
    <row r="125" customFormat="false" ht="15" hidden="false" customHeight="false" outlineLevel="0" collapsed="false">
      <c r="A125" s="12"/>
      <c r="B125" s="13" t="str">
        <f aca="false">IF($A125="","",IFERROR(INDEX('Loans (reference)'!$B$2:$B$500,MATCH($A125,'Loans (reference)'!$A$2:$A$500,0)),"not found"))</f>
        <v/>
      </c>
      <c r="C125" s="14" t="str">
        <f aca="false">IF($A125="","",IFERROR(INDEX('Loans (reference)'!$E$2:$E$500,MATCH($A125,'Loans (reference)'!$A$2:$A$500,0)),""))</f>
        <v/>
      </c>
      <c r="D125" s="13" t="str">
        <f aca="false">IF($A125="","",IFERROR(INDEX('Loans (reference)'!$K$2:$K$500,MATCH($A125,'Loans (reference)'!$A$2:$A$500,0)),""))</f>
        <v/>
      </c>
      <c r="E125" s="15"/>
      <c r="F125" s="16"/>
      <c r="G125" s="17"/>
      <c r="H125" s="17"/>
      <c r="I125" s="17"/>
      <c r="J125" s="17"/>
      <c r="K125" s="18" t="str">
        <f aca="false">IF(COUNT($G125:$I125)=0,"",SUM($G125:$I125))</f>
        <v/>
      </c>
      <c r="L125" s="15"/>
      <c r="M125" s="15"/>
      <c r="N125" s="15"/>
      <c r="O125" s="13" t="str">
        <f aca="false">IF(COUNTA($A125,$E125:$J125,$L125:$N125)=0,"",IF($A125="","Add Loan UID",IF(ISNA(MATCH($A125,'Loans (reference)'!$A$2:$A$500,0)),"UID not in Loans tab",IF($E125="","Add payment no.",IF(COUNTIFS($A$2:$A$300,$A125,$E$2:$E$300,$E125)&gt;1,"Duplicate payment no.",IF($F125="","Add payment date",IF(COUNT($G125:$I125)=0,"Add an amount","Ready")))))))</f>
        <v/>
      </c>
      <c r="P125" s="19"/>
      <c r="Q125" s="20"/>
    </row>
    <row r="126" customFormat="false" ht="15" hidden="false" customHeight="false" outlineLevel="0" collapsed="false">
      <c r="A126" s="12"/>
      <c r="B126" s="13" t="str">
        <f aca="false">IF($A126="","",IFERROR(INDEX('Loans (reference)'!$B$2:$B$500,MATCH($A126,'Loans (reference)'!$A$2:$A$500,0)),"not found"))</f>
        <v/>
      </c>
      <c r="C126" s="14" t="str">
        <f aca="false">IF($A126="","",IFERROR(INDEX('Loans (reference)'!$E$2:$E$500,MATCH($A126,'Loans (reference)'!$A$2:$A$500,0)),""))</f>
        <v/>
      </c>
      <c r="D126" s="13" t="str">
        <f aca="false">IF($A126="","",IFERROR(INDEX('Loans (reference)'!$K$2:$K$500,MATCH($A126,'Loans (reference)'!$A$2:$A$500,0)),""))</f>
        <v/>
      </c>
      <c r="E126" s="15"/>
      <c r="F126" s="16"/>
      <c r="G126" s="17"/>
      <c r="H126" s="17"/>
      <c r="I126" s="17"/>
      <c r="J126" s="17"/>
      <c r="K126" s="18" t="str">
        <f aca="false">IF(COUNT($G126:$I126)=0,"",SUM($G126:$I126))</f>
        <v/>
      </c>
      <c r="L126" s="15"/>
      <c r="M126" s="15"/>
      <c r="N126" s="15"/>
      <c r="O126" s="13" t="str">
        <f aca="false">IF(COUNTA($A126,$E126:$J126,$L126:$N126)=0,"",IF($A126="","Add Loan UID",IF(ISNA(MATCH($A126,'Loans (reference)'!$A$2:$A$500,0)),"UID not in Loans tab",IF($E126="","Add payment no.",IF(COUNTIFS($A$2:$A$300,$A126,$E$2:$E$300,$E126)&gt;1,"Duplicate payment no.",IF($F126="","Add payment date",IF(COUNT($G126:$I126)=0,"Add an amount","Ready")))))))</f>
        <v/>
      </c>
      <c r="P126" s="19"/>
      <c r="Q126" s="20"/>
    </row>
    <row r="127" customFormat="false" ht="15" hidden="false" customHeight="false" outlineLevel="0" collapsed="false">
      <c r="A127" s="12"/>
      <c r="B127" s="13" t="str">
        <f aca="false">IF($A127="","",IFERROR(INDEX('Loans (reference)'!$B$2:$B$500,MATCH($A127,'Loans (reference)'!$A$2:$A$500,0)),"not found"))</f>
        <v/>
      </c>
      <c r="C127" s="14" t="str">
        <f aca="false">IF($A127="","",IFERROR(INDEX('Loans (reference)'!$E$2:$E$500,MATCH($A127,'Loans (reference)'!$A$2:$A$500,0)),""))</f>
        <v/>
      </c>
      <c r="D127" s="13" t="str">
        <f aca="false">IF($A127="","",IFERROR(INDEX('Loans (reference)'!$K$2:$K$500,MATCH($A127,'Loans (reference)'!$A$2:$A$500,0)),""))</f>
        <v/>
      </c>
      <c r="E127" s="15"/>
      <c r="F127" s="16"/>
      <c r="G127" s="17"/>
      <c r="H127" s="17"/>
      <c r="I127" s="17"/>
      <c r="J127" s="17"/>
      <c r="K127" s="18" t="str">
        <f aca="false">IF(COUNT($G127:$I127)=0,"",SUM($G127:$I127))</f>
        <v/>
      </c>
      <c r="L127" s="15"/>
      <c r="M127" s="15"/>
      <c r="N127" s="15"/>
      <c r="O127" s="13" t="str">
        <f aca="false">IF(COUNTA($A127,$E127:$J127,$L127:$N127)=0,"",IF($A127="","Add Loan UID",IF(ISNA(MATCH($A127,'Loans (reference)'!$A$2:$A$500,0)),"UID not in Loans tab",IF($E127="","Add payment no.",IF(COUNTIFS($A$2:$A$300,$A127,$E$2:$E$300,$E127)&gt;1,"Duplicate payment no.",IF($F127="","Add payment date",IF(COUNT($G127:$I127)=0,"Add an amount","Ready")))))))</f>
        <v/>
      </c>
      <c r="P127" s="19"/>
      <c r="Q127" s="20"/>
    </row>
    <row r="128" customFormat="false" ht="15" hidden="false" customHeight="false" outlineLevel="0" collapsed="false">
      <c r="A128" s="12"/>
      <c r="B128" s="13" t="str">
        <f aca="false">IF($A128="","",IFERROR(INDEX('Loans (reference)'!$B$2:$B$500,MATCH($A128,'Loans (reference)'!$A$2:$A$500,0)),"not found"))</f>
        <v/>
      </c>
      <c r="C128" s="14" t="str">
        <f aca="false">IF($A128="","",IFERROR(INDEX('Loans (reference)'!$E$2:$E$500,MATCH($A128,'Loans (reference)'!$A$2:$A$500,0)),""))</f>
        <v/>
      </c>
      <c r="D128" s="13" t="str">
        <f aca="false">IF($A128="","",IFERROR(INDEX('Loans (reference)'!$K$2:$K$500,MATCH($A128,'Loans (reference)'!$A$2:$A$500,0)),""))</f>
        <v/>
      </c>
      <c r="E128" s="15"/>
      <c r="F128" s="16"/>
      <c r="G128" s="17"/>
      <c r="H128" s="17"/>
      <c r="I128" s="17"/>
      <c r="J128" s="17"/>
      <c r="K128" s="18" t="str">
        <f aca="false">IF(COUNT($G128:$I128)=0,"",SUM($G128:$I128))</f>
        <v/>
      </c>
      <c r="L128" s="15"/>
      <c r="M128" s="15"/>
      <c r="N128" s="15"/>
      <c r="O128" s="13" t="str">
        <f aca="false">IF(COUNTA($A128,$E128:$J128,$L128:$N128)=0,"",IF($A128="","Add Loan UID",IF(ISNA(MATCH($A128,'Loans (reference)'!$A$2:$A$500,0)),"UID not in Loans tab",IF($E128="","Add payment no.",IF(COUNTIFS($A$2:$A$300,$A128,$E$2:$E$300,$E128)&gt;1,"Duplicate payment no.",IF($F128="","Add payment date",IF(COUNT($G128:$I128)=0,"Add an amount","Ready")))))))</f>
        <v/>
      </c>
      <c r="P128" s="19"/>
      <c r="Q128" s="20"/>
    </row>
    <row r="129" customFormat="false" ht="15" hidden="false" customHeight="false" outlineLevel="0" collapsed="false">
      <c r="A129" s="12"/>
      <c r="B129" s="13" t="str">
        <f aca="false">IF($A129="","",IFERROR(INDEX('Loans (reference)'!$B$2:$B$500,MATCH($A129,'Loans (reference)'!$A$2:$A$500,0)),"not found"))</f>
        <v/>
      </c>
      <c r="C129" s="14" t="str">
        <f aca="false">IF($A129="","",IFERROR(INDEX('Loans (reference)'!$E$2:$E$500,MATCH($A129,'Loans (reference)'!$A$2:$A$500,0)),""))</f>
        <v/>
      </c>
      <c r="D129" s="13" t="str">
        <f aca="false">IF($A129="","",IFERROR(INDEX('Loans (reference)'!$K$2:$K$500,MATCH($A129,'Loans (reference)'!$A$2:$A$500,0)),""))</f>
        <v/>
      </c>
      <c r="E129" s="15"/>
      <c r="F129" s="16"/>
      <c r="G129" s="17"/>
      <c r="H129" s="17"/>
      <c r="I129" s="17"/>
      <c r="J129" s="17"/>
      <c r="K129" s="18" t="str">
        <f aca="false">IF(COUNT($G129:$I129)=0,"",SUM($G129:$I129))</f>
        <v/>
      </c>
      <c r="L129" s="15"/>
      <c r="M129" s="15"/>
      <c r="N129" s="15"/>
      <c r="O129" s="13" t="str">
        <f aca="false">IF(COUNTA($A129,$E129:$J129,$L129:$N129)=0,"",IF($A129="","Add Loan UID",IF(ISNA(MATCH($A129,'Loans (reference)'!$A$2:$A$500,0)),"UID not in Loans tab",IF($E129="","Add payment no.",IF(COUNTIFS($A$2:$A$300,$A129,$E$2:$E$300,$E129)&gt;1,"Duplicate payment no.",IF($F129="","Add payment date",IF(COUNT($G129:$I129)=0,"Add an amount","Ready")))))))</f>
        <v/>
      </c>
      <c r="P129" s="19"/>
      <c r="Q129" s="20"/>
    </row>
    <row r="130" customFormat="false" ht="15" hidden="false" customHeight="false" outlineLevel="0" collapsed="false">
      <c r="A130" s="12"/>
      <c r="B130" s="13" t="str">
        <f aca="false">IF($A130="","",IFERROR(INDEX('Loans (reference)'!$B$2:$B$500,MATCH($A130,'Loans (reference)'!$A$2:$A$500,0)),"not found"))</f>
        <v/>
      </c>
      <c r="C130" s="14" t="str">
        <f aca="false">IF($A130="","",IFERROR(INDEX('Loans (reference)'!$E$2:$E$500,MATCH($A130,'Loans (reference)'!$A$2:$A$500,0)),""))</f>
        <v/>
      </c>
      <c r="D130" s="13" t="str">
        <f aca="false">IF($A130="","",IFERROR(INDEX('Loans (reference)'!$K$2:$K$500,MATCH($A130,'Loans (reference)'!$A$2:$A$500,0)),""))</f>
        <v/>
      </c>
      <c r="E130" s="15"/>
      <c r="F130" s="16"/>
      <c r="G130" s="17"/>
      <c r="H130" s="17"/>
      <c r="I130" s="17"/>
      <c r="J130" s="17"/>
      <c r="K130" s="18" t="str">
        <f aca="false">IF(COUNT($G130:$I130)=0,"",SUM($G130:$I130))</f>
        <v/>
      </c>
      <c r="L130" s="15"/>
      <c r="M130" s="15"/>
      <c r="N130" s="15"/>
      <c r="O130" s="13" t="str">
        <f aca="false">IF(COUNTA($A130,$E130:$J130,$L130:$N130)=0,"",IF($A130="","Add Loan UID",IF(ISNA(MATCH($A130,'Loans (reference)'!$A$2:$A$500,0)),"UID not in Loans tab",IF($E130="","Add payment no.",IF(COUNTIFS($A$2:$A$300,$A130,$E$2:$E$300,$E130)&gt;1,"Duplicate payment no.",IF($F130="","Add payment date",IF(COUNT($G130:$I130)=0,"Add an amount","Ready")))))))</f>
        <v/>
      </c>
      <c r="P130" s="19"/>
      <c r="Q130" s="20"/>
    </row>
    <row r="131" customFormat="false" ht="15" hidden="false" customHeight="false" outlineLevel="0" collapsed="false">
      <c r="A131" s="12"/>
      <c r="B131" s="13" t="str">
        <f aca="false">IF($A131="","",IFERROR(INDEX('Loans (reference)'!$B$2:$B$500,MATCH($A131,'Loans (reference)'!$A$2:$A$500,0)),"not found"))</f>
        <v/>
      </c>
      <c r="C131" s="14" t="str">
        <f aca="false">IF($A131="","",IFERROR(INDEX('Loans (reference)'!$E$2:$E$500,MATCH($A131,'Loans (reference)'!$A$2:$A$500,0)),""))</f>
        <v/>
      </c>
      <c r="D131" s="13" t="str">
        <f aca="false">IF($A131="","",IFERROR(INDEX('Loans (reference)'!$K$2:$K$500,MATCH($A131,'Loans (reference)'!$A$2:$A$500,0)),""))</f>
        <v/>
      </c>
      <c r="E131" s="15"/>
      <c r="F131" s="16"/>
      <c r="G131" s="17"/>
      <c r="H131" s="17"/>
      <c r="I131" s="17"/>
      <c r="J131" s="17"/>
      <c r="K131" s="18" t="str">
        <f aca="false">IF(COUNT($G131:$I131)=0,"",SUM($G131:$I131))</f>
        <v/>
      </c>
      <c r="L131" s="15"/>
      <c r="M131" s="15"/>
      <c r="N131" s="15"/>
      <c r="O131" s="13" t="str">
        <f aca="false">IF(COUNTA($A131,$E131:$J131,$L131:$N131)=0,"",IF($A131="","Add Loan UID",IF(ISNA(MATCH($A131,'Loans (reference)'!$A$2:$A$500,0)),"UID not in Loans tab",IF($E131="","Add payment no.",IF(COUNTIFS($A$2:$A$300,$A131,$E$2:$E$300,$E131)&gt;1,"Duplicate payment no.",IF($F131="","Add payment date",IF(COUNT($G131:$I131)=0,"Add an amount","Ready")))))))</f>
        <v/>
      </c>
      <c r="P131" s="19"/>
      <c r="Q131" s="20"/>
    </row>
    <row r="132" customFormat="false" ht="15" hidden="false" customHeight="false" outlineLevel="0" collapsed="false">
      <c r="A132" s="12"/>
      <c r="B132" s="13" t="str">
        <f aca="false">IF($A132="","",IFERROR(INDEX('Loans (reference)'!$B$2:$B$500,MATCH($A132,'Loans (reference)'!$A$2:$A$500,0)),"not found"))</f>
        <v/>
      </c>
      <c r="C132" s="14" t="str">
        <f aca="false">IF($A132="","",IFERROR(INDEX('Loans (reference)'!$E$2:$E$500,MATCH($A132,'Loans (reference)'!$A$2:$A$500,0)),""))</f>
        <v/>
      </c>
      <c r="D132" s="13" t="str">
        <f aca="false">IF($A132="","",IFERROR(INDEX('Loans (reference)'!$K$2:$K$500,MATCH($A132,'Loans (reference)'!$A$2:$A$500,0)),""))</f>
        <v/>
      </c>
      <c r="E132" s="15"/>
      <c r="F132" s="16"/>
      <c r="G132" s="17"/>
      <c r="H132" s="17"/>
      <c r="I132" s="17"/>
      <c r="J132" s="17"/>
      <c r="K132" s="18" t="str">
        <f aca="false">IF(COUNT($G132:$I132)=0,"",SUM($G132:$I132))</f>
        <v/>
      </c>
      <c r="L132" s="15"/>
      <c r="M132" s="15"/>
      <c r="N132" s="15"/>
      <c r="O132" s="13" t="str">
        <f aca="false">IF(COUNTA($A132,$E132:$J132,$L132:$N132)=0,"",IF($A132="","Add Loan UID",IF(ISNA(MATCH($A132,'Loans (reference)'!$A$2:$A$500,0)),"UID not in Loans tab",IF($E132="","Add payment no.",IF(COUNTIFS($A$2:$A$300,$A132,$E$2:$E$300,$E132)&gt;1,"Duplicate payment no.",IF($F132="","Add payment date",IF(COUNT($G132:$I132)=0,"Add an amount","Ready")))))))</f>
        <v/>
      </c>
      <c r="P132" s="19"/>
      <c r="Q132" s="20"/>
    </row>
    <row r="133" customFormat="false" ht="15" hidden="false" customHeight="false" outlineLevel="0" collapsed="false">
      <c r="A133" s="12"/>
      <c r="B133" s="13" t="str">
        <f aca="false">IF($A133="","",IFERROR(INDEX('Loans (reference)'!$B$2:$B$500,MATCH($A133,'Loans (reference)'!$A$2:$A$500,0)),"not found"))</f>
        <v/>
      </c>
      <c r="C133" s="14" t="str">
        <f aca="false">IF($A133="","",IFERROR(INDEX('Loans (reference)'!$E$2:$E$500,MATCH($A133,'Loans (reference)'!$A$2:$A$500,0)),""))</f>
        <v/>
      </c>
      <c r="D133" s="13" t="str">
        <f aca="false">IF($A133="","",IFERROR(INDEX('Loans (reference)'!$K$2:$K$500,MATCH($A133,'Loans (reference)'!$A$2:$A$500,0)),""))</f>
        <v/>
      </c>
      <c r="E133" s="15"/>
      <c r="F133" s="16"/>
      <c r="G133" s="17"/>
      <c r="H133" s="17"/>
      <c r="I133" s="17"/>
      <c r="J133" s="17"/>
      <c r="K133" s="18" t="str">
        <f aca="false">IF(COUNT($G133:$I133)=0,"",SUM($G133:$I133))</f>
        <v/>
      </c>
      <c r="L133" s="15"/>
      <c r="M133" s="15"/>
      <c r="N133" s="15"/>
      <c r="O133" s="13" t="str">
        <f aca="false">IF(COUNTA($A133,$E133:$J133,$L133:$N133)=0,"",IF($A133="","Add Loan UID",IF(ISNA(MATCH($A133,'Loans (reference)'!$A$2:$A$500,0)),"UID not in Loans tab",IF($E133="","Add payment no.",IF(COUNTIFS($A$2:$A$300,$A133,$E$2:$E$300,$E133)&gt;1,"Duplicate payment no.",IF($F133="","Add payment date",IF(COUNT($G133:$I133)=0,"Add an amount","Ready")))))))</f>
        <v/>
      </c>
      <c r="P133" s="19"/>
      <c r="Q133" s="20"/>
    </row>
    <row r="134" customFormat="false" ht="15" hidden="false" customHeight="false" outlineLevel="0" collapsed="false">
      <c r="A134" s="12"/>
      <c r="B134" s="13" t="str">
        <f aca="false">IF($A134="","",IFERROR(INDEX('Loans (reference)'!$B$2:$B$500,MATCH($A134,'Loans (reference)'!$A$2:$A$500,0)),"not found"))</f>
        <v/>
      </c>
      <c r="C134" s="14" t="str">
        <f aca="false">IF($A134="","",IFERROR(INDEX('Loans (reference)'!$E$2:$E$500,MATCH($A134,'Loans (reference)'!$A$2:$A$500,0)),""))</f>
        <v/>
      </c>
      <c r="D134" s="13" t="str">
        <f aca="false">IF($A134="","",IFERROR(INDEX('Loans (reference)'!$K$2:$K$500,MATCH($A134,'Loans (reference)'!$A$2:$A$500,0)),""))</f>
        <v/>
      </c>
      <c r="E134" s="15"/>
      <c r="F134" s="16"/>
      <c r="G134" s="17"/>
      <c r="H134" s="17"/>
      <c r="I134" s="17"/>
      <c r="J134" s="17"/>
      <c r="K134" s="18" t="str">
        <f aca="false">IF(COUNT($G134:$I134)=0,"",SUM($G134:$I134))</f>
        <v/>
      </c>
      <c r="L134" s="15"/>
      <c r="M134" s="15"/>
      <c r="N134" s="15"/>
      <c r="O134" s="13" t="str">
        <f aca="false">IF(COUNTA($A134,$E134:$J134,$L134:$N134)=0,"",IF($A134="","Add Loan UID",IF(ISNA(MATCH($A134,'Loans (reference)'!$A$2:$A$500,0)),"UID not in Loans tab",IF($E134="","Add payment no.",IF(COUNTIFS($A$2:$A$300,$A134,$E$2:$E$300,$E134)&gt;1,"Duplicate payment no.",IF($F134="","Add payment date",IF(COUNT($G134:$I134)=0,"Add an amount","Ready")))))))</f>
        <v/>
      </c>
      <c r="P134" s="19"/>
      <c r="Q134" s="20"/>
    </row>
    <row r="135" customFormat="false" ht="15" hidden="false" customHeight="false" outlineLevel="0" collapsed="false">
      <c r="A135" s="12"/>
      <c r="B135" s="13" t="str">
        <f aca="false">IF($A135="","",IFERROR(INDEX('Loans (reference)'!$B$2:$B$500,MATCH($A135,'Loans (reference)'!$A$2:$A$500,0)),"not found"))</f>
        <v/>
      </c>
      <c r="C135" s="14" t="str">
        <f aca="false">IF($A135="","",IFERROR(INDEX('Loans (reference)'!$E$2:$E$500,MATCH($A135,'Loans (reference)'!$A$2:$A$500,0)),""))</f>
        <v/>
      </c>
      <c r="D135" s="13" t="str">
        <f aca="false">IF($A135="","",IFERROR(INDEX('Loans (reference)'!$K$2:$K$500,MATCH($A135,'Loans (reference)'!$A$2:$A$500,0)),""))</f>
        <v/>
      </c>
      <c r="E135" s="15"/>
      <c r="F135" s="16"/>
      <c r="G135" s="17"/>
      <c r="H135" s="17"/>
      <c r="I135" s="17"/>
      <c r="J135" s="17"/>
      <c r="K135" s="18" t="str">
        <f aca="false">IF(COUNT($G135:$I135)=0,"",SUM($G135:$I135))</f>
        <v/>
      </c>
      <c r="L135" s="15"/>
      <c r="M135" s="15"/>
      <c r="N135" s="15"/>
      <c r="O135" s="13" t="str">
        <f aca="false">IF(COUNTA($A135,$E135:$J135,$L135:$N135)=0,"",IF($A135="","Add Loan UID",IF(ISNA(MATCH($A135,'Loans (reference)'!$A$2:$A$500,0)),"UID not in Loans tab",IF($E135="","Add payment no.",IF(COUNTIFS($A$2:$A$300,$A135,$E$2:$E$300,$E135)&gt;1,"Duplicate payment no.",IF($F135="","Add payment date",IF(COUNT($G135:$I135)=0,"Add an amount","Ready")))))))</f>
        <v/>
      </c>
      <c r="P135" s="19"/>
      <c r="Q135" s="20"/>
    </row>
    <row r="136" customFormat="false" ht="15" hidden="false" customHeight="false" outlineLevel="0" collapsed="false">
      <c r="A136" s="12"/>
      <c r="B136" s="13" t="str">
        <f aca="false">IF($A136="","",IFERROR(INDEX('Loans (reference)'!$B$2:$B$500,MATCH($A136,'Loans (reference)'!$A$2:$A$500,0)),"not found"))</f>
        <v/>
      </c>
      <c r="C136" s="14" t="str">
        <f aca="false">IF($A136="","",IFERROR(INDEX('Loans (reference)'!$E$2:$E$500,MATCH($A136,'Loans (reference)'!$A$2:$A$500,0)),""))</f>
        <v/>
      </c>
      <c r="D136" s="13" t="str">
        <f aca="false">IF($A136="","",IFERROR(INDEX('Loans (reference)'!$K$2:$K$500,MATCH($A136,'Loans (reference)'!$A$2:$A$500,0)),""))</f>
        <v/>
      </c>
      <c r="E136" s="15"/>
      <c r="F136" s="16"/>
      <c r="G136" s="17"/>
      <c r="H136" s="17"/>
      <c r="I136" s="17"/>
      <c r="J136" s="17"/>
      <c r="K136" s="18" t="str">
        <f aca="false">IF(COUNT($G136:$I136)=0,"",SUM($G136:$I136))</f>
        <v/>
      </c>
      <c r="L136" s="15"/>
      <c r="M136" s="15"/>
      <c r="N136" s="15"/>
      <c r="O136" s="13" t="str">
        <f aca="false">IF(COUNTA($A136,$E136:$J136,$L136:$N136)=0,"",IF($A136="","Add Loan UID",IF(ISNA(MATCH($A136,'Loans (reference)'!$A$2:$A$500,0)),"UID not in Loans tab",IF($E136="","Add payment no.",IF(COUNTIFS($A$2:$A$300,$A136,$E$2:$E$300,$E136)&gt;1,"Duplicate payment no.",IF($F136="","Add payment date",IF(COUNT($G136:$I136)=0,"Add an amount","Ready")))))))</f>
        <v/>
      </c>
      <c r="P136" s="19"/>
      <c r="Q136" s="20"/>
    </row>
    <row r="137" customFormat="false" ht="15" hidden="false" customHeight="false" outlineLevel="0" collapsed="false">
      <c r="A137" s="12"/>
      <c r="B137" s="13" t="str">
        <f aca="false">IF($A137="","",IFERROR(INDEX('Loans (reference)'!$B$2:$B$500,MATCH($A137,'Loans (reference)'!$A$2:$A$500,0)),"not found"))</f>
        <v/>
      </c>
      <c r="C137" s="14" t="str">
        <f aca="false">IF($A137="","",IFERROR(INDEX('Loans (reference)'!$E$2:$E$500,MATCH($A137,'Loans (reference)'!$A$2:$A$500,0)),""))</f>
        <v/>
      </c>
      <c r="D137" s="13" t="str">
        <f aca="false">IF($A137="","",IFERROR(INDEX('Loans (reference)'!$K$2:$K$500,MATCH($A137,'Loans (reference)'!$A$2:$A$500,0)),""))</f>
        <v/>
      </c>
      <c r="E137" s="15"/>
      <c r="F137" s="16"/>
      <c r="G137" s="17"/>
      <c r="H137" s="17"/>
      <c r="I137" s="17"/>
      <c r="J137" s="17"/>
      <c r="K137" s="18" t="str">
        <f aca="false">IF(COUNT($G137:$I137)=0,"",SUM($G137:$I137))</f>
        <v/>
      </c>
      <c r="L137" s="15"/>
      <c r="M137" s="15"/>
      <c r="N137" s="15"/>
      <c r="O137" s="13" t="str">
        <f aca="false">IF(COUNTA($A137,$E137:$J137,$L137:$N137)=0,"",IF($A137="","Add Loan UID",IF(ISNA(MATCH($A137,'Loans (reference)'!$A$2:$A$500,0)),"UID not in Loans tab",IF($E137="","Add payment no.",IF(COUNTIFS($A$2:$A$300,$A137,$E$2:$E$300,$E137)&gt;1,"Duplicate payment no.",IF($F137="","Add payment date",IF(COUNT($G137:$I137)=0,"Add an amount","Ready")))))))</f>
        <v/>
      </c>
      <c r="P137" s="19"/>
      <c r="Q137" s="20"/>
    </row>
    <row r="138" customFormat="false" ht="15" hidden="false" customHeight="false" outlineLevel="0" collapsed="false">
      <c r="A138" s="12"/>
      <c r="B138" s="13" t="str">
        <f aca="false">IF($A138="","",IFERROR(INDEX('Loans (reference)'!$B$2:$B$500,MATCH($A138,'Loans (reference)'!$A$2:$A$500,0)),"not found"))</f>
        <v/>
      </c>
      <c r="C138" s="14" t="str">
        <f aca="false">IF($A138="","",IFERROR(INDEX('Loans (reference)'!$E$2:$E$500,MATCH($A138,'Loans (reference)'!$A$2:$A$500,0)),""))</f>
        <v/>
      </c>
      <c r="D138" s="13" t="str">
        <f aca="false">IF($A138="","",IFERROR(INDEX('Loans (reference)'!$K$2:$K$500,MATCH($A138,'Loans (reference)'!$A$2:$A$500,0)),""))</f>
        <v/>
      </c>
      <c r="E138" s="15"/>
      <c r="F138" s="16"/>
      <c r="G138" s="17"/>
      <c r="H138" s="17"/>
      <c r="I138" s="17"/>
      <c r="J138" s="17"/>
      <c r="K138" s="18" t="str">
        <f aca="false">IF(COUNT($G138:$I138)=0,"",SUM($G138:$I138))</f>
        <v/>
      </c>
      <c r="L138" s="15"/>
      <c r="M138" s="15"/>
      <c r="N138" s="15"/>
      <c r="O138" s="13" t="str">
        <f aca="false">IF(COUNTA($A138,$E138:$J138,$L138:$N138)=0,"",IF($A138="","Add Loan UID",IF(ISNA(MATCH($A138,'Loans (reference)'!$A$2:$A$500,0)),"UID not in Loans tab",IF($E138="","Add payment no.",IF(COUNTIFS($A$2:$A$300,$A138,$E$2:$E$300,$E138)&gt;1,"Duplicate payment no.",IF($F138="","Add payment date",IF(COUNT($G138:$I138)=0,"Add an amount","Ready")))))))</f>
        <v/>
      </c>
      <c r="P138" s="19"/>
      <c r="Q138" s="20"/>
    </row>
    <row r="139" customFormat="false" ht="15" hidden="false" customHeight="false" outlineLevel="0" collapsed="false">
      <c r="A139" s="12"/>
      <c r="B139" s="13" t="str">
        <f aca="false">IF($A139="","",IFERROR(INDEX('Loans (reference)'!$B$2:$B$500,MATCH($A139,'Loans (reference)'!$A$2:$A$500,0)),"not found"))</f>
        <v/>
      </c>
      <c r="C139" s="14" t="str">
        <f aca="false">IF($A139="","",IFERROR(INDEX('Loans (reference)'!$E$2:$E$500,MATCH($A139,'Loans (reference)'!$A$2:$A$500,0)),""))</f>
        <v/>
      </c>
      <c r="D139" s="13" t="str">
        <f aca="false">IF($A139="","",IFERROR(INDEX('Loans (reference)'!$K$2:$K$500,MATCH($A139,'Loans (reference)'!$A$2:$A$500,0)),""))</f>
        <v/>
      </c>
      <c r="E139" s="15"/>
      <c r="F139" s="16"/>
      <c r="G139" s="17"/>
      <c r="H139" s="17"/>
      <c r="I139" s="17"/>
      <c r="J139" s="17"/>
      <c r="K139" s="18" t="str">
        <f aca="false">IF(COUNT($G139:$I139)=0,"",SUM($G139:$I139))</f>
        <v/>
      </c>
      <c r="L139" s="15"/>
      <c r="M139" s="15"/>
      <c r="N139" s="15"/>
      <c r="O139" s="13" t="str">
        <f aca="false">IF(COUNTA($A139,$E139:$J139,$L139:$N139)=0,"",IF($A139="","Add Loan UID",IF(ISNA(MATCH($A139,'Loans (reference)'!$A$2:$A$500,0)),"UID not in Loans tab",IF($E139="","Add payment no.",IF(COUNTIFS($A$2:$A$300,$A139,$E$2:$E$300,$E139)&gt;1,"Duplicate payment no.",IF($F139="","Add payment date",IF(COUNT($G139:$I139)=0,"Add an amount","Ready")))))))</f>
        <v/>
      </c>
      <c r="P139" s="19"/>
      <c r="Q139" s="20"/>
    </row>
    <row r="140" customFormat="false" ht="15" hidden="false" customHeight="false" outlineLevel="0" collapsed="false">
      <c r="A140" s="12"/>
      <c r="B140" s="13" t="str">
        <f aca="false">IF($A140="","",IFERROR(INDEX('Loans (reference)'!$B$2:$B$500,MATCH($A140,'Loans (reference)'!$A$2:$A$500,0)),"not found"))</f>
        <v/>
      </c>
      <c r="C140" s="14" t="str">
        <f aca="false">IF($A140="","",IFERROR(INDEX('Loans (reference)'!$E$2:$E$500,MATCH($A140,'Loans (reference)'!$A$2:$A$500,0)),""))</f>
        <v/>
      </c>
      <c r="D140" s="13" t="str">
        <f aca="false">IF($A140="","",IFERROR(INDEX('Loans (reference)'!$K$2:$K$500,MATCH($A140,'Loans (reference)'!$A$2:$A$500,0)),""))</f>
        <v/>
      </c>
      <c r="E140" s="15"/>
      <c r="F140" s="16"/>
      <c r="G140" s="17"/>
      <c r="H140" s="17"/>
      <c r="I140" s="17"/>
      <c r="J140" s="17"/>
      <c r="K140" s="18" t="str">
        <f aca="false">IF(COUNT($G140:$I140)=0,"",SUM($G140:$I140))</f>
        <v/>
      </c>
      <c r="L140" s="15"/>
      <c r="M140" s="15"/>
      <c r="N140" s="15"/>
      <c r="O140" s="13" t="str">
        <f aca="false">IF(COUNTA($A140,$E140:$J140,$L140:$N140)=0,"",IF($A140="","Add Loan UID",IF(ISNA(MATCH($A140,'Loans (reference)'!$A$2:$A$500,0)),"UID not in Loans tab",IF($E140="","Add payment no.",IF(COUNTIFS($A$2:$A$300,$A140,$E$2:$E$300,$E140)&gt;1,"Duplicate payment no.",IF($F140="","Add payment date",IF(COUNT($G140:$I140)=0,"Add an amount","Ready")))))))</f>
        <v/>
      </c>
      <c r="P140" s="19"/>
      <c r="Q140" s="20"/>
    </row>
    <row r="141" customFormat="false" ht="15" hidden="false" customHeight="false" outlineLevel="0" collapsed="false">
      <c r="A141" s="12"/>
      <c r="B141" s="13" t="str">
        <f aca="false">IF($A141="","",IFERROR(INDEX('Loans (reference)'!$B$2:$B$500,MATCH($A141,'Loans (reference)'!$A$2:$A$500,0)),"not found"))</f>
        <v/>
      </c>
      <c r="C141" s="14" t="str">
        <f aca="false">IF($A141="","",IFERROR(INDEX('Loans (reference)'!$E$2:$E$500,MATCH($A141,'Loans (reference)'!$A$2:$A$500,0)),""))</f>
        <v/>
      </c>
      <c r="D141" s="13" t="str">
        <f aca="false">IF($A141="","",IFERROR(INDEX('Loans (reference)'!$K$2:$K$500,MATCH($A141,'Loans (reference)'!$A$2:$A$500,0)),""))</f>
        <v/>
      </c>
      <c r="E141" s="15"/>
      <c r="F141" s="16"/>
      <c r="G141" s="17"/>
      <c r="H141" s="17"/>
      <c r="I141" s="17"/>
      <c r="J141" s="17"/>
      <c r="K141" s="18" t="str">
        <f aca="false">IF(COUNT($G141:$I141)=0,"",SUM($G141:$I141))</f>
        <v/>
      </c>
      <c r="L141" s="15"/>
      <c r="M141" s="15"/>
      <c r="N141" s="15"/>
      <c r="O141" s="13" t="str">
        <f aca="false">IF(COUNTA($A141,$E141:$J141,$L141:$N141)=0,"",IF($A141="","Add Loan UID",IF(ISNA(MATCH($A141,'Loans (reference)'!$A$2:$A$500,0)),"UID not in Loans tab",IF($E141="","Add payment no.",IF(COUNTIFS($A$2:$A$300,$A141,$E$2:$E$300,$E141)&gt;1,"Duplicate payment no.",IF($F141="","Add payment date",IF(COUNT($G141:$I141)=0,"Add an amount","Ready")))))))</f>
        <v/>
      </c>
      <c r="P141" s="19"/>
      <c r="Q141" s="20"/>
    </row>
    <row r="142" customFormat="false" ht="15" hidden="false" customHeight="false" outlineLevel="0" collapsed="false">
      <c r="A142" s="12"/>
      <c r="B142" s="13" t="str">
        <f aca="false">IF($A142="","",IFERROR(INDEX('Loans (reference)'!$B$2:$B$500,MATCH($A142,'Loans (reference)'!$A$2:$A$500,0)),"not found"))</f>
        <v/>
      </c>
      <c r="C142" s="14" t="str">
        <f aca="false">IF($A142="","",IFERROR(INDEX('Loans (reference)'!$E$2:$E$500,MATCH($A142,'Loans (reference)'!$A$2:$A$500,0)),""))</f>
        <v/>
      </c>
      <c r="D142" s="13" t="str">
        <f aca="false">IF($A142="","",IFERROR(INDEX('Loans (reference)'!$K$2:$K$500,MATCH($A142,'Loans (reference)'!$A$2:$A$500,0)),""))</f>
        <v/>
      </c>
      <c r="E142" s="15"/>
      <c r="F142" s="16"/>
      <c r="G142" s="17"/>
      <c r="H142" s="17"/>
      <c r="I142" s="17"/>
      <c r="J142" s="17"/>
      <c r="K142" s="18" t="str">
        <f aca="false">IF(COUNT($G142:$I142)=0,"",SUM($G142:$I142))</f>
        <v/>
      </c>
      <c r="L142" s="15"/>
      <c r="M142" s="15"/>
      <c r="N142" s="15"/>
      <c r="O142" s="13" t="str">
        <f aca="false">IF(COUNTA($A142,$E142:$J142,$L142:$N142)=0,"",IF($A142="","Add Loan UID",IF(ISNA(MATCH($A142,'Loans (reference)'!$A$2:$A$500,0)),"UID not in Loans tab",IF($E142="","Add payment no.",IF(COUNTIFS($A$2:$A$300,$A142,$E$2:$E$300,$E142)&gt;1,"Duplicate payment no.",IF($F142="","Add payment date",IF(COUNT($G142:$I142)=0,"Add an amount","Ready")))))))</f>
        <v/>
      </c>
      <c r="P142" s="19"/>
      <c r="Q142" s="20"/>
    </row>
    <row r="143" customFormat="false" ht="15" hidden="false" customHeight="false" outlineLevel="0" collapsed="false">
      <c r="A143" s="12"/>
      <c r="B143" s="13" t="str">
        <f aca="false">IF($A143="","",IFERROR(INDEX('Loans (reference)'!$B$2:$B$500,MATCH($A143,'Loans (reference)'!$A$2:$A$500,0)),"not found"))</f>
        <v/>
      </c>
      <c r="C143" s="14" t="str">
        <f aca="false">IF($A143="","",IFERROR(INDEX('Loans (reference)'!$E$2:$E$500,MATCH($A143,'Loans (reference)'!$A$2:$A$500,0)),""))</f>
        <v/>
      </c>
      <c r="D143" s="13" t="str">
        <f aca="false">IF($A143="","",IFERROR(INDEX('Loans (reference)'!$K$2:$K$500,MATCH($A143,'Loans (reference)'!$A$2:$A$500,0)),""))</f>
        <v/>
      </c>
      <c r="E143" s="15"/>
      <c r="F143" s="16"/>
      <c r="G143" s="17"/>
      <c r="H143" s="17"/>
      <c r="I143" s="17"/>
      <c r="J143" s="17"/>
      <c r="K143" s="18" t="str">
        <f aca="false">IF(COUNT($G143:$I143)=0,"",SUM($G143:$I143))</f>
        <v/>
      </c>
      <c r="L143" s="15"/>
      <c r="M143" s="15"/>
      <c r="N143" s="15"/>
      <c r="O143" s="13" t="str">
        <f aca="false">IF(COUNTA($A143,$E143:$J143,$L143:$N143)=0,"",IF($A143="","Add Loan UID",IF(ISNA(MATCH($A143,'Loans (reference)'!$A$2:$A$500,0)),"UID not in Loans tab",IF($E143="","Add payment no.",IF(COUNTIFS($A$2:$A$300,$A143,$E$2:$E$300,$E143)&gt;1,"Duplicate payment no.",IF($F143="","Add payment date",IF(COUNT($G143:$I143)=0,"Add an amount","Ready")))))))</f>
        <v/>
      </c>
      <c r="P143" s="19"/>
      <c r="Q143" s="20"/>
    </row>
    <row r="144" customFormat="false" ht="15" hidden="false" customHeight="false" outlineLevel="0" collapsed="false">
      <c r="A144" s="12"/>
      <c r="B144" s="13" t="str">
        <f aca="false">IF($A144="","",IFERROR(INDEX('Loans (reference)'!$B$2:$B$500,MATCH($A144,'Loans (reference)'!$A$2:$A$500,0)),"not found"))</f>
        <v/>
      </c>
      <c r="C144" s="14" t="str">
        <f aca="false">IF($A144="","",IFERROR(INDEX('Loans (reference)'!$E$2:$E$500,MATCH($A144,'Loans (reference)'!$A$2:$A$500,0)),""))</f>
        <v/>
      </c>
      <c r="D144" s="13" t="str">
        <f aca="false">IF($A144="","",IFERROR(INDEX('Loans (reference)'!$K$2:$K$500,MATCH($A144,'Loans (reference)'!$A$2:$A$500,0)),""))</f>
        <v/>
      </c>
      <c r="E144" s="15"/>
      <c r="F144" s="16"/>
      <c r="G144" s="17"/>
      <c r="H144" s="17"/>
      <c r="I144" s="17"/>
      <c r="J144" s="17"/>
      <c r="K144" s="18" t="str">
        <f aca="false">IF(COUNT($G144:$I144)=0,"",SUM($G144:$I144))</f>
        <v/>
      </c>
      <c r="L144" s="15"/>
      <c r="M144" s="15"/>
      <c r="N144" s="15"/>
      <c r="O144" s="13" t="str">
        <f aca="false">IF(COUNTA($A144,$E144:$J144,$L144:$N144)=0,"",IF($A144="","Add Loan UID",IF(ISNA(MATCH($A144,'Loans (reference)'!$A$2:$A$500,0)),"UID not in Loans tab",IF($E144="","Add payment no.",IF(COUNTIFS($A$2:$A$300,$A144,$E$2:$E$300,$E144)&gt;1,"Duplicate payment no.",IF($F144="","Add payment date",IF(COUNT($G144:$I144)=0,"Add an amount","Ready")))))))</f>
        <v/>
      </c>
      <c r="P144" s="19"/>
      <c r="Q144" s="20"/>
    </row>
    <row r="145" customFormat="false" ht="15" hidden="false" customHeight="false" outlineLevel="0" collapsed="false">
      <c r="A145" s="12"/>
      <c r="B145" s="13" t="str">
        <f aca="false">IF($A145="","",IFERROR(INDEX('Loans (reference)'!$B$2:$B$500,MATCH($A145,'Loans (reference)'!$A$2:$A$500,0)),"not found"))</f>
        <v/>
      </c>
      <c r="C145" s="14" t="str">
        <f aca="false">IF($A145="","",IFERROR(INDEX('Loans (reference)'!$E$2:$E$500,MATCH($A145,'Loans (reference)'!$A$2:$A$500,0)),""))</f>
        <v/>
      </c>
      <c r="D145" s="13" t="str">
        <f aca="false">IF($A145="","",IFERROR(INDEX('Loans (reference)'!$K$2:$K$500,MATCH($A145,'Loans (reference)'!$A$2:$A$500,0)),""))</f>
        <v/>
      </c>
      <c r="E145" s="15"/>
      <c r="F145" s="16"/>
      <c r="G145" s="17"/>
      <c r="H145" s="17"/>
      <c r="I145" s="17"/>
      <c r="J145" s="17"/>
      <c r="K145" s="18" t="str">
        <f aca="false">IF(COUNT($G145:$I145)=0,"",SUM($G145:$I145))</f>
        <v/>
      </c>
      <c r="L145" s="15"/>
      <c r="M145" s="15"/>
      <c r="N145" s="15"/>
      <c r="O145" s="13" t="str">
        <f aca="false">IF(COUNTA($A145,$E145:$J145,$L145:$N145)=0,"",IF($A145="","Add Loan UID",IF(ISNA(MATCH($A145,'Loans (reference)'!$A$2:$A$500,0)),"UID not in Loans tab",IF($E145="","Add payment no.",IF(COUNTIFS($A$2:$A$300,$A145,$E$2:$E$300,$E145)&gt;1,"Duplicate payment no.",IF($F145="","Add payment date",IF(COUNT($G145:$I145)=0,"Add an amount","Ready")))))))</f>
        <v/>
      </c>
      <c r="P145" s="19"/>
      <c r="Q145" s="20"/>
    </row>
    <row r="146" customFormat="false" ht="15" hidden="false" customHeight="false" outlineLevel="0" collapsed="false">
      <c r="A146" s="12"/>
      <c r="B146" s="13" t="str">
        <f aca="false">IF($A146="","",IFERROR(INDEX('Loans (reference)'!$B$2:$B$500,MATCH($A146,'Loans (reference)'!$A$2:$A$500,0)),"not found"))</f>
        <v/>
      </c>
      <c r="C146" s="14" t="str">
        <f aca="false">IF($A146="","",IFERROR(INDEX('Loans (reference)'!$E$2:$E$500,MATCH($A146,'Loans (reference)'!$A$2:$A$500,0)),""))</f>
        <v/>
      </c>
      <c r="D146" s="13" t="str">
        <f aca="false">IF($A146="","",IFERROR(INDEX('Loans (reference)'!$K$2:$K$500,MATCH($A146,'Loans (reference)'!$A$2:$A$500,0)),""))</f>
        <v/>
      </c>
      <c r="E146" s="15"/>
      <c r="F146" s="16"/>
      <c r="G146" s="17"/>
      <c r="H146" s="17"/>
      <c r="I146" s="17"/>
      <c r="J146" s="17"/>
      <c r="K146" s="18" t="str">
        <f aca="false">IF(COUNT($G146:$I146)=0,"",SUM($G146:$I146))</f>
        <v/>
      </c>
      <c r="L146" s="15"/>
      <c r="M146" s="15"/>
      <c r="N146" s="15"/>
      <c r="O146" s="13" t="str">
        <f aca="false">IF(COUNTA($A146,$E146:$J146,$L146:$N146)=0,"",IF($A146="","Add Loan UID",IF(ISNA(MATCH($A146,'Loans (reference)'!$A$2:$A$500,0)),"UID not in Loans tab",IF($E146="","Add payment no.",IF(COUNTIFS($A$2:$A$300,$A146,$E$2:$E$300,$E146)&gt;1,"Duplicate payment no.",IF($F146="","Add payment date",IF(COUNT($G146:$I146)=0,"Add an amount","Ready")))))))</f>
        <v/>
      </c>
      <c r="P146" s="19"/>
      <c r="Q146" s="20"/>
    </row>
    <row r="147" customFormat="false" ht="15" hidden="false" customHeight="false" outlineLevel="0" collapsed="false">
      <c r="A147" s="12"/>
      <c r="B147" s="13" t="str">
        <f aca="false">IF($A147="","",IFERROR(INDEX('Loans (reference)'!$B$2:$B$500,MATCH($A147,'Loans (reference)'!$A$2:$A$500,0)),"not found"))</f>
        <v/>
      </c>
      <c r="C147" s="14" t="str">
        <f aca="false">IF($A147="","",IFERROR(INDEX('Loans (reference)'!$E$2:$E$500,MATCH($A147,'Loans (reference)'!$A$2:$A$500,0)),""))</f>
        <v/>
      </c>
      <c r="D147" s="13" t="str">
        <f aca="false">IF($A147="","",IFERROR(INDEX('Loans (reference)'!$K$2:$K$500,MATCH($A147,'Loans (reference)'!$A$2:$A$500,0)),""))</f>
        <v/>
      </c>
      <c r="E147" s="15"/>
      <c r="F147" s="16"/>
      <c r="G147" s="17"/>
      <c r="H147" s="17"/>
      <c r="I147" s="17"/>
      <c r="J147" s="17"/>
      <c r="K147" s="18" t="str">
        <f aca="false">IF(COUNT($G147:$I147)=0,"",SUM($G147:$I147))</f>
        <v/>
      </c>
      <c r="L147" s="15"/>
      <c r="M147" s="15"/>
      <c r="N147" s="15"/>
      <c r="O147" s="13" t="str">
        <f aca="false">IF(COUNTA($A147,$E147:$J147,$L147:$N147)=0,"",IF($A147="","Add Loan UID",IF(ISNA(MATCH($A147,'Loans (reference)'!$A$2:$A$500,0)),"UID not in Loans tab",IF($E147="","Add payment no.",IF(COUNTIFS($A$2:$A$300,$A147,$E$2:$E$300,$E147)&gt;1,"Duplicate payment no.",IF($F147="","Add payment date",IF(COUNT($G147:$I147)=0,"Add an amount","Ready")))))))</f>
        <v/>
      </c>
      <c r="P147" s="19"/>
      <c r="Q147" s="20"/>
    </row>
    <row r="148" customFormat="false" ht="15" hidden="false" customHeight="false" outlineLevel="0" collapsed="false">
      <c r="A148" s="12"/>
      <c r="B148" s="13" t="str">
        <f aca="false">IF($A148="","",IFERROR(INDEX('Loans (reference)'!$B$2:$B$500,MATCH($A148,'Loans (reference)'!$A$2:$A$500,0)),"not found"))</f>
        <v/>
      </c>
      <c r="C148" s="14" t="str">
        <f aca="false">IF($A148="","",IFERROR(INDEX('Loans (reference)'!$E$2:$E$500,MATCH($A148,'Loans (reference)'!$A$2:$A$500,0)),""))</f>
        <v/>
      </c>
      <c r="D148" s="13" t="str">
        <f aca="false">IF($A148="","",IFERROR(INDEX('Loans (reference)'!$K$2:$K$500,MATCH($A148,'Loans (reference)'!$A$2:$A$500,0)),""))</f>
        <v/>
      </c>
      <c r="E148" s="15"/>
      <c r="F148" s="16"/>
      <c r="G148" s="17"/>
      <c r="H148" s="17"/>
      <c r="I148" s="17"/>
      <c r="J148" s="17"/>
      <c r="K148" s="18" t="str">
        <f aca="false">IF(COUNT($G148:$I148)=0,"",SUM($G148:$I148))</f>
        <v/>
      </c>
      <c r="L148" s="15"/>
      <c r="M148" s="15"/>
      <c r="N148" s="15"/>
      <c r="O148" s="13" t="str">
        <f aca="false">IF(COUNTA($A148,$E148:$J148,$L148:$N148)=0,"",IF($A148="","Add Loan UID",IF(ISNA(MATCH($A148,'Loans (reference)'!$A$2:$A$500,0)),"UID not in Loans tab",IF($E148="","Add payment no.",IF(COUNTIFS($A$2:$A$300,$A148,$E$2:$E$300,$E148)&gt;1,"Duplicate payment no.",IF($F148="","Add payment date",IF(COUNT($G148:$I148)=0,"Add an amount","Ready")))))))</f>
        <v/>
      </c>
      <c r="P148" s="19"/>
      <c r="Q148" s="20"/>
    </row>
    <row r="149" customFormat="false" ht="15" hidden="false" customHeight="false" outlineLevel="0" collapsed="false">
      <c r="A149" s="12"/>
      <c r="B149" s="13" t="str">
        <f aca="false">IF($A149="","",IFERROR(INDEX('Loans (reference)'!$B$2:$B$500,MATCH($A149,'Loans (reference)'!$A$2:$A$500,0)),"not found"))</f>
        <v/>
      </c>
      <c r="C149" s="14" t="str">
        <f aca="false">IF($A149="","",IFERROR(INDEX('Loans (reference)'!$E$2:$E$500,MATCH($A149,'Loans (reference)'!$A$2:$A$500,0)),""))</f>
        <v/>
      </c>
      <c r="D149" s="13" t="str">
        <f aca="false">IF($A149="","",IFERROR(INDEX('Loans (reference)'!$K$2:$K$500,MATCH($A149,'Loans (reference)'!$A$2:$A$500,0)),""))</f>
        <v/>
      </c>
      <c r="E149" s="15"/>
      <c r="F149" s="16"/>
      <c r="G149" s="17"/>
      <c r="H149" s="17"/>
      <c r="I149" s="17"/>
      <c r="J149" s="17"/>
      <c r="K149" s="18" t="str">
        <f aca="false">IF(COUNT($G149:$I149)=0,"",SUM($G149:$I149))</f>
        <v/>
      </c>
      <c r="L149" s="15"/>
      <c r="M149" s="15"/>
      <c r="N149" s="15"/>
      <c r="O149" s="13" t="str">
        <f aca="false">IF(COUNTA($A149,$E149:$J149,$L149:$N149)=0,"",IF($A149="","Add Loan UID",IF(ISNA(MATCH($A149,'Loans (reference)'!$A$2:$A$500,0)),"UID not in Loans tab",IF($E149="","Add payment no.",IF(COUNTIFS($A$2:$A$300,$A149,$E$2:$E$300,$E149)&gt;1,"Duplicate payment no.",IF($F149="","Add payment date",IF(COUNT($G149:$I149)=0,"Add an amount","Ready")))))))</f>
        <v/>
      </c>
      <c r="P149" s="19"/>
      <c r="Q149" s="20"/>
    </row>
    <row r="150" customFormat="false" ht="15" hidden="false" customHeight="false" outlineLevel="0" collapsed="false">
      <c r="A150" s="12"/>
      <c r="B150" s="13" t="str">
        <f aca="false">IF($A150="","",IFERROR(INDEX('Loans (reference)'!$B$2:$B$500,MATCH($A150,'Loans (reference)'!$A$2:$A$500,0)),"not found"))</f>
        <v/>
      </c>
      <c r="C150" s="14" t="str">
        <f aca="false">IF($A150="","",IFERROR(INDEX('Loans (reference)'!$E$2:$E$500,MATCH($A150,'Loans (reference)'!$A$2:$A$500,0)),""))</f>
        <v/>
      </c>
      <c r="D150" s="13" t="str">
        <f aca="false">IF($A150="","",IFERROR(INDEX('Loans (reference)'!$K$2:$K$500,MATCH($A150,'Loans (reference)'!$A$2:$A$500,0)),""))</f>
        <v/>
      </c>
      <c r="E150" s="15"/>
      <c r="F150" s="16"/>
      <c r="G150" s="17"/>
      <c r="H150" s="17"/>
      <c r="I150" s="17"/>
      <c r="J150" s="17"/>
      <c r="K150" s="18" t="str">
        <f aca="false">IF(COUNT($G150:$I150)=0,"",SUM($G150:$I150))</f>
        <v/>
      </c>
      <c r="L150" s="15"/>
      <c r="M150" s="15"/>
      <c r="N150" s="15"/>
      <c r="O150" s="13" t="str">
        <f aca="false">IF(COUNTA($A150,$E150:$J150,$L150:$N150)=0,"",IF($A150="","Add Loan UID",IF(ISNA(MATCH($A150,'Loans (reference)'!$A$2:$A$500,0)),"UID not in Loans tab",IF($E150="","Add payment no.",IF(COUNTIFS($A$2:$A$300,$A150,$E$2:$E$300,$E150)&gt;1,"Duplicate payment no.",IF($F150="","Add payment date",IF(COUNT($G150:$I150)=0,"Add an amount","Ready")))))))</f>
        <v/>
      </c>
      <c r="P150" s="19"/>
      <c r="Q150" s="20"/>
    </row>
    <row r="151" customFormat="false" ht="15" hidden="false" customHeight="false" outlineLevel="0" collapsed="false">
      <c r="A151" s="12"/>
      <c r="B151" s="13" t="str">
        <f aca="false">IF($A151="","",IFERROR(INDEX('Loans (reference)'!$B$2:$B$500,MATCH($A151,'Loans (reference)'!$A$2:$A$500,0)),"not found"))</f>
        <v/>
      </c>
      <c r="C151" s="14" t="str">
        <f aca="false">IF($A151="","",IFERROR(INDEX('Loans (reference)'!$E$2:$E$500,MATCH($A151,'Loans (reference)'!$A$2:$A$500,0)),""))</f>
        <v/>
      </c>
      <c r="D151" s="13" t="str">
        <f aca="false">IF($A151="","",IFERROR(INDEX('Loans (reference)'!$K$2:$K$500,MATCH($A151,'Loans (reference)'!$A$2:$A$500,0)),""))</f>
        <v/>
      </c>
      <c r="E151" s="15"/>
      <c r="F151" s="16"/>
      <c r="G151" s="17"/>
      <c r="H151" s="17"/>
      <c r="I151" s="17"/>
      <c r="J151" s="17"/>
      <c r="K151" s="18" t="str">
        <f aca="false">IF(COUNT($G151:$I151)=0,"",SUM($G151:$I151))</f>
        <v/>
      </c>
      <c r="L151" s="15"/>
      <c r="M151" s="15"/>
      <c r="N151" s="15"/>
      <c r="O151" s="13" t="str">
        <f aca="false">IF(COUNTA($A151,$E151:$J151,$L151:$N151)=0,"",IF($A151="","Add Loan UID",IF(ISNA(MATCH($A151,'Loans (reference)'!$A$2:$A$500,0)),"UID not in Loans tab",IF($E151="","Add payment no.",IF(COUNTIFS($A$2:$A$300,$A151,$E$2:$E$300,$E151)&gt;1,"Duplicate payment no.",IF($F151="","Add payment date",IF(COUNT($G151:$I151)=0,"Add an amount","Ready")))))))</f>
        <v/>
      </c>
      <c r="P151" s="19"/>
      <c r="Q151" s="20"/>
    </row>
    <row r="152" customFormat="false" ht="15" hidden="false" customHeight="false" outlineLevel="0" collapsed="false">
      <c r="A152" s="12"/>
      <c r="B152" s="13" t="str">
        <f aca="false">IF($A152="","",IFERROR(INDEX('Loans (reference)'!$B$2:$B$500,MATCH($A152,'Loans (reference)'!$A$2:$A$500,0)),"not found"))</f>
        <v/>
      </c>
      <c r="C152" s="14" t="str">
        <f aca="false">IF($A152="","",IFERROR(INDEX('Loans (reference)'!$E$2:$E$500,MATCH($A152,'Loans (reference)'!$A$2:$A$500,0)),""))</f>
        <v/>
      </c>
      <c r="D152" s="13" t="str">
        <f aca="false">IF($A152="","",IFERROR(INDEX('Loans (reference)'!$K$2:$K$500,MATCH($A152,'Loans (reference)'!$A$2:$A$500,0)),""))</f>
        <v/>
      </c>
      <c r="E152" s="15"/>
      <c r="F152" s="16"/>
      <c r="G152" s="17"/>
      <c r="H152" s="17"/>
      <c r="I152" s="17"/>
      <c r="J152" s="17"/>
      <c r="K152" s="18" t="str">
        <f aca="false">IF(COUNT($G152:$I152)=0,"",SUM($G152:$I152))</f>
        <v/>
      </c>
      <c r="L152" s="15"/>
      <c r="M152" s="15"/>
      <c r="N152" s="15"/>
      <c r="O152" s="13" t="str">
        <f aca="false">IF(COUNTA($A152,$E152:$J152,$L152:$N152)=0,"",IF($A152="","Add Loan UID",IF(ISNA(MATCH($A152,'Loans (reference)'!$A$2:$A$500,0)),"UID not in Loans tab",IF($E152="","Add payment no.",IF(COUNTIFS($A$2:$A$300,$A152,$E$2:$E$300,$E152)&gt;1,"Duplicate payment no.",IF($F152="","Add payment date",IF(COUNT($G152:$I152)=0,"Add an amount","Ready")))))))</f>
        <v/>
      </c>
      <c r="P152" s="19"/>
      <c r="Q152" s="20"/>
    </row>
    <row r="153" customFormat="false" ht="15" hidden="false" customHeight="false" outlineLevel="0" collapsed="false">
      <c r="A153" s="12"/>
      <c r="B153" s="13" t="str">
        <f aca="false">IF($A153="","",IFERROR(INDEX('Loans (reference)'!$B$2:$B$500,MATCH($A153,'Loans (reference)'!$A$2:$A$500,0)),"not found"))</f>
        <v/>
      </c>
      <c r="C153" s="14" t="str">
        <f aca="false">IF($A153="","",IFERROR(INDEX('Loans (reference)'!$E$2:$E$500,MATCH($A153,'Loans (reference)'!$A$2:$A$500,0)),""))</f>
        <v/>
      </c>
      <c r="D153" s="13" t="str">
        <f aca="false">IF($A153="","",IFERROR(INDEX('Loans (reference)'!$K$2:$K$500,MATCH($A153,'Loans (reference)'!$A$2:$A$500,0)),""))</f>
        <v/>
      </c>
      <c r="E153" s="15"/>
      <c r="F153" s="16"/>
      <c r="G153" s="17"/>
      <c r="H153" s="17"/>
      <c r="I153" s="17"/>
      <c r="J153" s="17"/>
      <c r="K153" s="18" t="str">
        <f aca="false">IF(COUNT($G153:$I153)=0,"",SUM($G153:$I153))</f>
        <v/>
      </c>
      <c r="L153" s="15"/>
      <c r="M153" s="15"/>
      <c r="N153" s="15"/>
      <c r="O153" s="13" t="str">
        <f aca="false">IF(COUNTA($A153,$E153:$J153,$L153:$N153)=0,"",IF($A153="","Add Loan UID",IF(ISNA(MATCH($A153,'Loans (reference)'!$A$2:$A$500,0)),"UID not in Loans tab",IF($E153="","Add payment no.",IF(COUNTIFS($A$2:$A$300,$A153,$E$2:$E$300,$E153)&gt;1,"Duplicate payment no.",IF($F153="","Add payment date",IF(COUNT($G153:$I153)=0,"Add an amount","Ready")))))))</f>
        <v/>
      </c>
      <c r="P153" s="19"/>
      <c r="Q153" s="20"/>
    </row>
    <row r="154" customFormat="false" ht="15" hidden="false" customHeight="false" outlineLevel="0" collapsed="false">
      <c r="A154" s="12"/>
      <c r="B154" s="13" t="str">
        <f aca="false">IF($A154="","",IFERROR(INDEX('Loans (reference)'!$B$2:$B$500,MATCH($A154,'Loans (reference)'!$A$2:$A$500,0)),"not found"))</f>
        <v/>
      </c>
      <c r="C154" s="14" t="str">
        <f aca="false">IF($A154="","",IFERROR(INDEX('Loans (reference)'!$E$2:$E$500,MATCH($A154,'Loans (reference)'!$A$2:$A$500,0)),""))</f>
        <v/>
      </c>
      <c r="D154" s="13" t="str">
        <f aca="false">IF($A154="","",IFERROR(INDEX('Loans (reference)'!$K$2:$K$500,MATCH($A154,'Loans (reference)'!$A$2:$A$500,0)),""))</f>
        <v/>
      </c>
      <c r="E154" s="15"/>
      <c r="F154" s="16"/>
      <c r="G154" s="17"/>
      <c r="H154" s="17"/>
      <c r="I154" s="17"/>
      <c r="J154" s="17"/>
      <c r="K154" s="18" t="str">
        <f aca="false">IF(COUNT($G154:$I154)=0,"",SUM($G154:$I154))</f>
        <v/>
      </c>
      <c r="L154" s="15"/>
      <c r="M154" s="15"/>
      <c r="N154" s="15"/>
      <c r="O154" s="13" t="str">
        <f aca="false">IF(COUNTA($A154,$E154:$J154,$L154:$N154)=0,"",IF($A154="","Add Loan UID",IF(ISNA(MATCH($A154,'Loans (reference)'!$A$2:$A$500,0)),"UID not in Loans tab",IF($E154="","Add payment no.",IF(COUNTIFS($A$2:$A$300,$A154,$E$2:$E$300,$E154)&gt;1,"Duplicate payment no.",IF($F154="","Add payment date",IF(COUNT($G154:$I154)=0,"Add an amount","Ready")))))))</f>
        <v/>
      </c>
      <c r="P154" s="19"/>
      <c r="Q154" s="20"/>
    </row>
    <row r="155" customFormat="false" ht="15" hidden="false" customHeight="false" outlineLevel="0" collapsed="false">
      <c r="A155" s="12"/>
      <c r="B155" s="13" t="str">
        <f aca="false">IF($A155="","",IFERROR(INDEX('Loans (reference)'!$B$2:$B$500,MATCH($A155,'Loans (reference)'!$A$2:$A$500,0)),"not found"))</f>
        <v/>
      </c>
      <c r="C155" s="14" t="str">
        <f aca="false">IF($A155="","",IFERROR(INDEX('Loans (reference)'!$E$2:$E$500,MATCH($A155,'Loans (reference)'!$A$2:$A$500,0)),""))</f>
        <v/>
      </c>
      <c r="D155" s="13" t="str">
        <f aca="false">IF($A155="","",IFERROR(INDEX('Loans (reference)'!$K$2:$K$500,MATCH($A155,'Loans (reference)'!$A$2:$A$500,0)),""))</f>
        <v/>
      </c>
      <c r="E155" s="15"/>
      <c r="F155" s="16"/>
      <c r="G155" s="17"/>
      <c r="H155" s="17"/>
      <c r="I155" s="17"/>
      <c r="J155" s="17"/>
      <c r="K155" s="18" t="str">
        <f aca="false">IF(COUNT($G155:$I155)=0,"",SUM($G155:$I155))</f>
        <v/>
      </c>
      <c r="L155" s="15"/>
      <c r="M155" s="15"/>
      <c r="N155" s="15"/>
      <c r="O155" s="13" t="str">
        <f aca="false">IF(COUNTA($A155,$E155:$J155,$L155:$N155)=0,"",IF($A155="","Add Loan UID",IF(ISNA(MATCH($A155,'Loans (reference)'!$A$2:$A$500,0)),"UID not in Loans tab",IF($E155="","Add payment no.",IF(COUNTIFS($A$2:$A$300,$A155,$E$2:$E$300,$E155)&gt;1,"Duplicate payment no.",IF($F155="","Add payment date",IF(COUNT($G155:$I155)=0,"Add an amount","Ready")))))))</f>
        <v/>
      </c>
      <c r="P155" s="19"/>
      <c r="Q155" s="20"/>
    </row>
    <row r="156" customFormat="false" ht="15" hidden="false" customHeight="false" outlineLevel="0" collapsed="false">
      <c r="A156" s="12"/>
      <c r="B156" s="13" t="str">
        <f aca="false">IF($A156="","",IFERROR(INDEX('Loans (reference)'!$B$2:$B$500,MATCH($A156,'Loans (reference)'!$A$2:$A$500,0)),"not found"))</f>
        <v/>
      </c>
      <c r="C156" s="14" t="str">
        <f aca="false">IF($A156="","",IFERROR(INDEX('Loans (reference)'!$E$2:$E$500,MATCH($A156,'Loans (reference)'!$A$2:$A$500,0)),""))</f>
        <v/>
      </c>
      <c r="D156" s="13" t="str">
        <f aca="false">IF($A156="","",IFERROR(INDEX('Loans (reference)'!$K$2:$K$500,MATCH($A156,'Loans (reference)'!$A$2:$A$500,0)),""))</f>
        <v/>
      </c>
      <c r="E156" s="15"/>
      <c r="F156" s="16"/>
      <c r="G156" s="17"/>
      <c r="H156" s="17"/>
      <c r="I156" s="17"/>
      <c r="J156" s="17"/>
      <c r="K156" s="18" t="str">
        <f aca="false">IF(COUNT($G156:$I156)=0,"",SUM($G156:$I156))</f>
        <v/>
      </c>
      <c r="L156" s="15"/>
      <c r="M156" s="15"/>
      <c r="N156" s="15"/>
      <c r="O156" s="13" t="str">
        <f aca="false">IF(COUNTA($A156,$E156:$J156,$L156:$N156)=0,"",IF($A156="","Add Loan UID",IF(ISNA(MATCH($A156,'Loans (reference)'!$A$2:$A$500,0)),"UID not in Loans tab",IF($E156="","Add payment no.",IF(COUNTIFS($A$2:$A$300,$A156,$E$2:$E$300,$E156)&gt;1,"Duplicate payment no.",IF($F156="","Add payment date",IF(COUNT($G156:$I156)=0,"Add an amount","Ready")))))))</f>
        <v/>
      </c>
      <c r="P156" s="19"/>
      <c r="Q156" s="20"/>
    </row>
    <row r="157" customFormat="false" ht="15" hidden="false" customHeight="false" outlineLevel="0" collapsed="false">
      <c r="A157" s="12"/>
      <c r="B157" s="13" t="str">
        <f aca="false">IF($A157="","",IFERROR(INDEX('Loans (reference)'!$B$2:$B$500,MATCH($A157,'Loans (reference)'!$A$2:$A$500,0)),"not found"))</f>
        <v/>
      </c>
      <c r="C157" s="14" t="str">
        <f aca="false">IF($A157="","",IFERROR(INDEX('Loans (reference)'!$E$2:$E$500,MATCH($A157,'Loans (reference)'!$A$2:$A$500,0)),""))</f>
        <v/>
      </c>
      <c r="D157" s="13" t="str">
        <f aca="false">IF($A157="","",IFERROR(INDEX('Loans (reference)'!$K$2:$K$500,MATCH($A157,'Loans (reference)'!$A$2:$A$500,0)),""))</f>
        <v/>
      </c>
      <c r="E157" s="15"/>
      <c r="F157" s="16"/>
      <c r="G157" s="17"/>
      <c r="H157" s="17"/>
      <c r="I157" s="17"/>
      <c r="J157" s="17"/>
      <c r="K157" s="18" t="str">
        <f aca="false">IF(COUNT($G157:$I157)=0,"",SUM($G157:$I157))</f>
        <v/>
      </c>
      <c r="L157" s="15"/>
      <c r="M157" s="15"/>
      <c r="N157" s="15"/>
      <c r="O157" s="13" t="str">
        <f aca="false">IF(COUNTA($A157,$E157:$J157,$L157:$N157)=0,"",IF($A157="","Add Loan UID",IF(ISNA(MATCH($A157,'Loans (reference)'!$A$2:$A$500,0)),"UID not in Loans tab",IF($E157="","Add payment no.",IF(COUNTIFS($A$2:$A$300,$A157,$E$2:$E$300,$E157)&gt;1,"Duplicate payment no.",IF($F157="","Add payment date",IF(COUNT($G157:$I157)=0,"Add an amount","Ready")))))))</f>
        <v/>
      </c>
      <c r="P157" s="19"/>
      <c r="Q157" s="20"/>
    </row>
    <row r="158" customFormat="false" ht="15" hidden="false" customHeight="false" outlineLevel="0" collapsed="false">
      <c r="A158" s="12"/>
      <c r="B158" s="13" t="str">
        <f aca="false">IF($A158="","",IFERROR(INDEX('Loans (reference)'!$B$2:$B$500,MATCH($A158,'Loans (reference)'!$A$2:$A$500,0)),"not found"))</f>
        <v/>
      </c>
      <c r="C158" s="14" t="str">
        <f aca="false">IF($A158="","",IFERROR(INDEX('Loans (reference)'!$E$2:$E$500,MATCH($A158,'Loans (reference)'!$A$2:$A$500,0)),""))</f>
        <v/>
      </c>
      <c r="D158" s="13" t="str">
        <f aca="false">IF($A158="","",IFERROR(INDEX('Loans (reference)'!$K$2:$K$500,MATCH($A158,'Loans (reference)'!$A$2:$A$500,0)),""))</f>
        <v/>
      </c>
      <c r="E158" s="15"/>
      <c r="F158" s="16"/>
      <c r="G158" s="17"/>
      <c r="H158" s="17"/>
      <c r="I158" s="17"/>
      <c r="J158" s="17"/>
      <c r="K158" s="18" t="str">
        <f aca="false">IF(COUNT($G158:$I158)=0,"",SUM($G158:$I158))</f>
        <v/>
      </c>
      <c r="L158" s="15"/>
      <c r="M158" s="15"/>
      <c r="N158" s="15"/>
      <c r="O158" s="13" t="str">
        <f aca="false">IF(COUNTA($A158,$E158:$J158,$L158:$N158)=0,"",IF($A158="","Add Loan UID",IF(ISNA(MATCH($A158,'Loans (reference)'!$A$2:$A$500,0)),"UID not in Loans tab",IF($E158="","Add payment no.",IF(COUNTIFS($A$2:$A$300,$A158,$E$2:$E$300,$E158)&gt;1,"Duplicate payment no.",IF($F158="","Add payment date",IF(COUNT($G158:$I158)=0,"Add an amount","Ready")))))))</f>
        <v/>
      </c>
      <c r="P158" s="19"/>
      <c r="Q158" s="20"/>
    </row>
    <row r="159" customFormat="false" ht="15" hidden="false" customHeight="false" outlineLevel="0" collapsed="false">
      <c r="A159" s="12"/>
      <c r="B159" s="13" t="str">
        <f aca="false">IF($A159="","",IFERROR(INDEX('Loans (reference)'!$B$2:$B$500,MATCH($A159,'Loans (reference)'!$A$2:$A$500,0)),"not found"))</f>
        <v/>
      </c>
      <c r="C159" s="14" t="str">
        <f aca="false">IF($A159="","",IFERROR(INDEX('Loans (reference)'!$E$2:$E$500,MATCH($A159,'Loans (reference)'!$A$2:$A$500,0)),""))</f>
        <v/>
      </c>
      <c r="D159" s="13" t="str">
        <f aca="false">IF($A159="","",IFERROR(INDEX('Loans (reference)'!$K$2:$K$500,MATCH($A159,'Loans (reference)'!$A$2:$A$500,0)),""))</f>
        <v/>
      </c>
      <c r="E159" s="15"/>
      <c r="F159" s="16"/>
      <c r="G159" s="17"/>
      <c r="H159" s="17"/>
      <c r="I159" s="17"/>
      <c r="J159" s="17"/>
      <c r="K159" s="18" t="str">
        <f aca="false">IF(COUNT($G159:$I159)=0,"",SUM($G159:$I159))</f>
        <v/>
      </c>
      <c r="L159" s="15"/>
      <c r="M159" s="15"/>
      <c r="N159" s="15"/>
      <c r="O159" s="13" t="str">
        <f aca="false">IF(COUNTA($A159,$E159:$J159,$L159:$N159)=0,"",IF($A159="","Add Loan UID",IF(ISNA(MATCH($A159,'Loans (reference)'!$A$2:$A$500,0)),"UID not in Loans tab",IF($E159="","Add payment no.",IF(COUNTIFS($A$2:$A$300,$A159,$E$2:$E$300,$E159)&gt;1,"Duplicate payment no.",IF($F159="","Add payment date",IF(COUNT($G159:$I159)=0,"Add an amount","Ready")))))))</f>
        <v/>
      </c>
      <c r="P159" s="19"/>
      <c r="Q159" s="20"/>
    </row>
    <row r="160" customFormat="false" ht="15" hidden="false" customHeight="false" outlineLevel="0" collapsed="false">
      <c r="A160" s="12"/>
      <c r="B160" s="13" t="str">
        <f aca="false">IF($A160="","",IFERROR(INDEX('Loans (reference)'!$B$2:$B$500,MATCH($A160,'Loans (reference)'!$A$2:$A$500,0)),"not found"))</f>
        <v/>
      </c>
      <c r="C160" s="14" t="str">
        <f aca="false">IF($A160="","",IFERROR(INDEX('Loans (reference)'!$E$2:$E$500,MATCH($A160,'Loans (reference)'!$A$2:$A$500,0)),""))</f>
        <v/>
      </c>
      <c r="D160" s="13" t="str">
        <f aca="false">IF($A160="","",IFERROR(INDEX('Loans (reference)'!$K$2:$K$500,MATCH($A160,'Loans (reference)'!$A$2:$A$500,0)),""))</f>
        <v/>
      </c>
      <c r="E160" s="15"/>
      <c r="F160" s="16"/>
      <c r="G160" s="17"/>
      <c r="H160" s="17"/>
      <c r="I160" s="17"/>
      <c r="J160" s="17"/>
      <c r="K160" s="18" t="str">
        <f aca="false">IF(COUNT($G160:$I160)=0,"",SUM($G160:$I160))</f>
        <v/>
      </c>
      <c r="L160" s="15"/>
      <c r="M160" s="15"/>
      <c r="N160" s="15"/>
      <c r="O160" s="13" t="str">
        <f aca="false">IF(COUNTA($A160,$E160:$J160,$L160:$N160)=0,"",IF($A160="","Add Loan UID",IF(ISNA(MATCH($A160,'Loans (reference)'!$A$2:$A$500,0)),"UID not in Loans tab",IF($E160="","Add payment no.",IF(COUNTIFS($A$2:$A$300,$A160,$E$2:$E$300,$E160)&gt;1,"Duplicate payment no.",IF($F160="","Add payment date",IF(COUNT($G160:$I160)=0,"Add an amount","Ready")))))))</f>
        <v/>
      </c>
      <c r="P160" s="19"/>
      <c r="Q160" s="20"/>
    </row>
    <row r="161" customFormat="false" ht="15" hidden="false" customHeight="false" outlineLevel="0" collapsed="false">
      <c r="A161" s="12"/>
      <c r="B161" s="13" t="str">
        <f aca="false">IF($A161="","",IFERROR(INDEX('Loans (reference)'!$B$2:$B$500,MATCH($A161,'Loans (reference)'!$A$2:$A$500,0)),"not found"))</f>
        <v/>
      </c>
      <c r="C161" s="14" t="str">
        <f aca="false">IF($A161="","",IFERROR(INDEX('Loans (reference)'!$E$2:$E$500,MATCH($A161,'Loans (reference)'!$A$2:$A$500,0)),""))</f>
        <v/>
      </c>
      <c r="D161" s="13" t="str">
        <f aca="false">IF($A161="","",IFERROR(INDEX('Loans (reference)'!$K$2:$K$500,MATCH($A161,'Loans (reference)'!$A$2:$A$500,0)),""))</f>
        <v/>
      </c>
      <c r="E161" s="15"/>
      <c r="F161" s="16"/>
      <c r="G161" s="17"/>
      <c r="H161" s="17"/>
      <c r="I161" s="17"/>
      <c r="J161" s="17"/>
      <c r="K161" s="18" t="str">
        <f aca="false">IF(COUNT($G161:$I161)=0,"",SUM($G161:$I161))</f>
        <v/>
      </c>
      <c r="L161" s="15"/>
      <c r="M161" s="15"/>
      <c r="N161" s="15"/>
      <c r="O161" s="13" t="str">
        <f aca="false">IF(COUNTA($A161,$E161:$J161,$L161:$N161)=0,"",IF($A161="","Add Loan UID",IF(ISNA(MATCH($A161,'Loans (reference)'!$A$2:$A$500,0)),"UID not in Loans tab",IF($E161="","Add payment no.",IF(COUNTIFS($A$2:$A$300,$A161,$E$2:$E$300,$E161)&gt;1,"Duplicate payment no.",IF($F161="","Add payment date",IF(COUNT($G161:$I161)=0,"Add an amount","Ready")))))))</f>
        <v/>
      </c>
      <c r="P161" s="19"/>
      <c r="Q161" s="20"/>
    </row>
    <row r="162" customFormat="false" ht="15" hidden="false" customHeight="false" outlineLevel="0" collapsed="false">
      <c r="A162" s="12"/>
      <c r="B162" s="13" t="str">
        <f aca="false">IF($A162="","",IFERROR(INDEX('Loans (reference)'!$B$2:$B$500,MATCH($A162,'Loans (reference)'!$A$2:$A$500,0)),"not found"))</f>
        <v/>
      </c>
      <c r="C162" s="14" t="str">
        <f aca="false">IF($A162="","",IFERROR(INDEX('Loans (reference)'!$E$2:$E$500,MATCH($A162,'Loans (reference)'!$A$2:$A$500,0)),""))</f>
        <v/>
      </c>
      <c r="D162" s="13" t="str">
        <f aca="false">IF($A162="","",IFERROR(INDEX('Loans (reference)'!$K$2:$K$500,MATCH($A162,'Loans (reference)'!$A$2:$A$500,0)),""))</f>
        <v/>
      </c>
      <c r="E162" s="15"/>
      <c r="F162" s="16"/>
      <c r="G162" s="17"/>
      <c r="H162" s="17"/>
      <c r="I162" s="17"/>
      <c r="J162" s="17"/>
      <c r="K162" s="18" t="str">
        <f aca="false">IF(COUNT($G162:$I162)=0,"",SUM($G162:$I162))</f>
        <v/>
      </c>
      <c r="L162" s="15"/>
      <c r="M162" s="15"/>
      <c r="N162" s="15"/>
      <c r="O162" s="13" t="str">
        <f aca="false">IF(COUNTA($A162,$E162:$J162,$L162:$N162)=0,"",IF($A162="","Add Loan UID",IF(ISNA(MATCH($A162,'Loans (reference)'!$A$2:$A$500,0)),"UID not in Loans tab",IF($E162="","Add payment no.",IF(COUNTIFS($A$2:$A$300,$A162,$E$2:$E$300,$E162)&gt;1,"Duplicate payment no.",IF($F162="","Add payment date",IF(COUNT($G162:$I162)=0,"Add an amount","Ready")))))))</f>
        <v/>
      </c>
      <c r="P162" s="19"/>
      <c r="Q162" s="20"/>
    </row>
    <row r="163" customFormat="false" ht="15" hidden="false" customHeight="false" outlineLevel="0" collapsed="false">
      <c r="A163" s="12"/>
      <c r="B163" s="13" t="str">
        <f aca="false">IF($A163="","",IFERROR(INDEX('Loans (reference)'!$B$2:$B$500,MATCH($A163,'Loans (reference)'!$A$2:$A$500,0)),"not found"))</f>
        <v/>
      </c>
      <c r="C163" s="14" t="str">
        <f aca="false">IF($A163="","",IFERROR(INDEX('Loans (reference)'!$E$2:$E$500,MATCH($A163,'Loans (reference)'!$A$2:$A$500,0)),""))</f>
        <v/>
      </c>
      <c r="D163" s="13" t="str">
        <f aca="false">IF($A163="","",IFERROR(INDEX('Loans (reference)'!$K$2:$K$500,MATCH($A163,'Loans (reference)'!$A$2:$A$500,0)),""))</f>
        <v/>
      </c>
      <c r="E163" s="15"/>
      <c r="F163" s="16"/>
      <c r="G163" s="17"/>
      <c r="H163" s="17"/>
      <c r="I163" s="17"/>
      <c r="J163" s="17"/>
      <c r="K163" s="18" t="str">
        <f aca="false">IF(COUNT($G163:$I163)=0,"",SUM($G163:$I163))</f>
        <v/>
      </c>
      <c r="L163" s="15"/>
      <c r="M163" s="15"/>
      <c r="N163" s="15"/>
      <c r="O163" s="13" t="str">
        <f aca="false">IF(COUNTA($A163,$E163:$J163,$L163:$N163)=0,"",IF($A163="","Add Loan UID",IF(ISNA(MATCH($A163,'Loans (reference)'!$A$2:$A$500,0)),"UID not in Loans tab",IF($E163="","Add payment no.",IF(COUNTIFS($A$2:$A$300,$A163,$E$2:$E$300,$E163)&gt;1,"Duplicate payment no.",IF($F163="","Add payment date",IF(COUNT($G163:$I163)=0,"Add an amount","Ready")))))))</f>
        <v/>
      </c>
      <c r="P163" s="19"/>
      <c r="Q163" s="20"/>
    </row>
    <row r="164" customFormat="false" ht="15" hidden="false" customHeight="false" outlineLevel="0" collapsed="false">
      <c r="A164" s="12"/>
      <c r="B164" s="13" t="str">
        <f aca="false">IF($A164="","",IFERROR(INDEX('Loans (reference)'!$B$2:$B$500,MATCH($A164,'Loans (reference)'!$A$2:$A$500,0)),"not found"))</f>
        <v/>
      </c>
      <c r="C164" s="14" t="str">
        <f aca="false">IF($A164="","",IFERROR(INDEX('Loans (reference)'!$E$2:$E$500,MATCH($A164,'Loans (reference)'!$A$2:$A$500,0)),""))</f>
        <v/>
      </c>
      <c r="D164" s="13" t="str">
        <f aca="false">IF($A164="","",IFERROR(INDEX('Loans (reference)'!$K$2:$K$500,MATCH($A164,'Loans (reference)'!$A$2:$A$500,0)),""))</f>
        <v/>
      </c>
      <c r="E164" s="15"/>
      <c r="F164" s="16"/>
      <c r="G164" s="17"/>
      <c r="H164" s="17"/>
      <c r="I164" s="17"/>
      <c r="J164" s="17"/>
      <c r="K164" s="18" t="str">
        <f aca="false">IF(COUNT($G164:$I164)=0,"",SUM($G164:$I164))</f>
        <v/>
      </c>
      <c r="L164" s="15"/>
      <c r="M164" s="15"/>
      <c r="N164" s="15"/>
      <c r="O164" s="13" t="str">
        <f aca="false">IF(COUNTA($A164,$E164:$J164,$L164:$N164)=0,"",IF($A164="","Add Loan UID",IF(ISNA(MATCH($A164,'Loans (reference)'!$A$2:$A$500,0)),"UID not in Loans tab",IF($E164="","Add payment no.",IF(COUNTIFS($A$2:$A$300,$A164,$E$2:$E$300,$E164)&gt;1,"Duplicate payment no.",IF($F164="","Add payment date",IF(COUNT($G164:$I164)=0,"Add an amount","Ready")))))))</f>
        <v/>
      </c>
      <c r="P164" s="19"/>
      <c r="Q164" s="20"/>
    </row>
    <row r="165" customFormat="false" ht="15" hidden="false" customHeight="false" outlineLevel="0" collapsed="false">
      <c r="A165" s="12"/>
      <c r="B165" s="13" t="str">
        <f aca="false">IF($A165="","",IFERROR(INDEX('Loans (reference)'!$B$2:$B$500,MATCH($A165,'Loans (reference)'!$A$2:$A$500,0)),"not found"))</f>
        <v/>
      </c>
      <c r="C165" s="14" t="str">
        <f aca="false">IF($A165="","",IFERROR(INDEX('Loans (reference)'!$E$2:$E$500,MATCH($A165,'Loans (reference)'!$A$2:$A$500,0)),""))</f>
        <v/>
      </c>
      <c r="D165" s="13" t="str">
        <f aca="false">IF($A165="","",IFERROR(INDEX('Loans (reference)'!$K$2:$K$500,MATCH($A165,'Loans (reference)'!$A$2:$A$500,0)),""))</f>
        <v/>
      </c>
      <c r="E165" s="15"/>
      <c r="F165" s="16"/>
      <c r="G165" s="17"/>
      <c r="H165" s="17"/>
      <c r="I165" s="17"/>
      <c r="J165" s="17"/>
      <c r="K165" s="18" t="str">
        <f aca="false">IF(COUNT($G165:$I165)=0,"",SUM($G165:$I165))</f>
        <v/>
      </c>
      <c r="L165" s="15"/>
      <c r="M165" s="15"/>
      <c r="N165" s="15"/>
      <c r="O165" s="13" t="str">
        <f aca="false">IF(COUNTA($A165,$E165:$J165,$L165:$N165)=0,"",IF($A165="","Add Loan UID",IF(ISNA(MATCH($A165,'Loans (reference)'!$A$2:$A$500,0)),"UID not in Loans tab",IF($E165="","Add payment no.",IF(COUNTIFS($A$2:$A$300,$A165,$E$2:$E$300,$E165)&gt;1,"Duplicate payment no.",IF($F165="","Add payment date",IF(COUNT($G165:$I165)=0,"Add an amount","Ready")))))))</f>
        <v/>
      </c>
      <c r="P165" s="19"/>
      <c r="Q165" s="20"/>
    </row>
    <row r="166" customFormat="false" ht="15" hidden="false" customHeight="false" outlineLevel="0" collapsed="false">
      <c r="A166" s="12"/>
      <c r="B166" s="13" t="str">
        <f aca="false">IF($A166="","",IFERROR(INDEX('Loans (reference)'!$B$2:$B$500,MATCH($A166,'Loans (reference)'!$A$2:$A$500,0)),"not found"))</f>
        <v/>
      </c>
      <c r="C166" s="14" t="str">
        <f aca="false">IF($A166="","",IFERROR(INDEX('Loans (reference)'!$E$2:$E$500,MATCH($A166,'Loans (reference)'!$A$2:$A$500,0)),""))</f>
        <v/>
      </c>
      <c r="D166" s="13" t="str">
        <f aca="false">IF($A166="","",IFERROR(INDEX('Loans (reference)'!$K$2:$K$500,MATCH($A166,'Loans (reference)'!$A$2:$A$500,0)),""))</f>
        <v/>
      </c>
      <c r="E166" s="15"/>
      <c r="F166" s="16"/>
      <c r="G166" s="17"/>
      <c r="H166" s="17"/>
      <c r="I166" s="17"/>
      <c r="J166" s="17"/>
      <c r="K166" s="18" t="str">
        <f aca="false">IF(COUNT($G166:$I166)=0,"",SUM($G166:$I166))</f>
        <v/>
      </c>
      <c r="L166" s="15"/>
      <c r="M166" s="15"/>
      <c r="N166" s="15"/>
      <c r="O166" s="13" t="str">
        <f aca="false">IF(COUNTA($A166,$E166:$J166,$L166:$N166)=0,"",IF($A166="","Add Loan UID",IF(ISNA(MATCH($A166,'Loans (reference)'!$A$2:$A$500,0)),"UID not in Loans tab",IF($E166="","Add payment no.",IF(COUNTIFS($A$2:$A$300,$A166,$E$2:$E$300,$E166)&gt;1,"Duplicate payment no.",IF($F166="","Add payment date",IF(COUNT($G166:$I166)=0,"Add an amount","Ready")))))))</f>
        <v/>
      </c>
      <c r="P166" s="19"/>
      <c r="Q166" s="20"/>
    </row>
    <row r="167" customFormat="false" ht="15" hidden="false" customHeight="false" outlineLevel="0" collapsed="false">
      <c r="A167" s="12"/>
      <c r="B167" s="13" t="str">
        <f aca="false">IF($A167="","",IFERROR(INDEX('Loans (reference)'!$B$2:$B$500,MATCH($A167,'Loans (reference)'!$A$2:$A$500,0)),"not found"))</f>
        <v/>
      </c>
      <c r="C167" s="14" t="str">
        <f aca="false">IF($A167="","",IFERROR(INDEX('Loans (reference)'!$E$2:$E$500,MATCH($A167,'Loans (reference)'!$A$2:$A$500,0)),""))</f>
        <v/>
      </c>
      <c r="D167" s="13" t="str">
        <f aca="false">IF($A167="","",IFERROR(INDEX('Loans (reference)'!$K$2:$K$500,MATCH($A167,'Loans (reference)'!$A$2:$A$500,0)),""))</f>
        <v/>
      </c>
      <c r="E167" s="15"/>
      <c r="F167" s="16"/>
      <c r="G167" s="17"/>
      <c r="H167" s="17"/>
      <c r="I167" s="17"/>
      <c r="J167" s="17"/>
      <c r="K167" s="18" t="str">
        <f aca="false">IF(COUNT($G167:$I167)=0,"",SUM($G167:$I167))</f>
        <v/>
      </c>
      <c r="L167" s="15"/>
      <c r="M167" s="15"/>
      <c r="N167" s="15"/>
      <c r="O167" s="13" t="str">
        <f aca="false">IF(COUNTA($A167,$E167:$J167,$L167:$N167)=0,"",IF($A167="","Add Loan UID",IF(ISNA(MATCH($A167,'Loans (reference)'!$A$2:$A$500,0)),"UID not in Loans tab",IF($E167="","Add payment no.",IF(COUNTIFS($A$2:$A$300,$A167,$E$2:$E$300,$E167)&gt;1,"Duplicate payment no.",IF($F167="","Add payment date",IF(COUNT($G167:$I167)=0,"Add an amount","Ready")))))))</f>
        <v/>
      </c>
      <c r="P167" s="19"/>
      <c r="Q167" s="20"/>
    </row>
    <row r="168" customFormat="false" ht="15" hidden="false" customHeight="false" outlineLevel="0" collapsed="false">
      <c r="A168" s="12"/>
      <c r="B168" s="13" t="str">
        <f aca="false">IF($A168="","",IFERROR(INDEX('Loans (reference)'!$B$2:$B$500,MATCH($A168,'Loans (reference)'!$A$2:$A$500,0)),"not found"))</f>
        <v/>
      </c>
      <c r="C168" s="14" t="str">
        <f aca="false">IF($A168="","",IFERROR(INDEX('Loans (reference)'!$E$2:$E$500,MATCH($A168,'Loans (reference)'!$A$2:$A$500,0)),""))</f>
        <v/>
      </c>
      <c r="D168" s="13" t="str">
        <f aca="false">IF($A168="","",IFERROR(INDEX('Loans (reference)'!$K$2:$K$500,MATCH($A168,'Loans (reference)'!$A$2:$A$500,0)),""))</f>
        <v/>
      </c>
      <c r="E168" s="15"/>
      <c r="F168" s="16"/>
      <c r="G168" s="17"/>
      <c r="H168" s="17"/>
      <c r="I168" s="17"/>
      <c r="J168" s="17"/>
      <c r="K168" s="18" t="str">
        <f aca="false">IF(COUNT($G168:$I168)=0,"",SUM($G168:$I168))</f>
        <v/>
      </c>
      <c r="L168" s="15"/>
      <c r="M168" s="15"/>
      <c r="N168" s="15"/>
      <c r="O168" s="13" t="str">
        <f aca="false">IF(COUNTA($A168,$E168:$J168,$L168:$N168)=0,"",IF($A168="","Add Loan UID",IF(ISNA(MATCH($A168,'Loans (reference)'!$A$2:$A$500,0)),"UID not in Loans tab",IF($E168="","Add payment no.",IF(COUNTIFS($A$2:$A$300,$A168,$E$2:$E$300,$E168)&gt;1,"Duplicate payment no.",IF($F168="","Add payment date",IF(COUNT($G168:$I168)=0,"Add an amount","Ready")))))))</f>
        <v/>
      </c>
      <c r="P168" s="19"/>
      <c r="Q168" s="20"/>
    </row>
    <row r="169" customFormat="false" ht="15" hidden="false" customHeight="false" outlineLevel="0" collapsed="false">
      <c r="A169" s="12"/>
      <c r="B169" s="13" t="str">
        <f aca="false">IF($A169="","",IFERROR(INDEX('Loans (reference)'!$B$2:$B$500,MATCH($A169,'Loans (reference)'!$A$2:$A$500,0)),"not found"))</f>
        <v/>
      </c>
      <c r="C169" s="14" t="str">
        <f aca="false">IF($A169="","",IFERROR(INDEX('Loans (reference)'!$E$2:$E$500,MATCH($A169,'Loans (reference)'!$A$2:$A$500,0)),""))</f>
        <v/>
      </c>
      <c r="D169" s="13" t="str">
        <f aca="false">IF($A169="","",IFERROR(INDEX('Loans (reference)'!$K$2:$K$500,MATCH($A169,'Loans (reference)'!$A$2:$A$500,0)),""))</f>
        <v/>
      </c>
      <c r="E169" s="15"/>
      <c r="F169" s="16"/>
      <c r="G169" s="17"/>
      <c r="H169" s="17"/>
      <c r="I169" s="17"/>
      <c r="J169" s="17"/>
      <c r="K169" s="18" t="str">
        <f aca="false">IF(COUNT($G169:$I169)=0,"",SUM($G169:$I169))</f>
        <v/>
      </c>
      <c r="L169" s="15"/>
      <c r="M169" s="15"/>
      <c r="N169" s="15"/>
      <c r="O169" s="13" t="str">
        <f aca="false">IF(COUNTA($A169,$E169:$J169,$L169:$N169)=0,"",IF($A169="","Add Loan UID",IF(ISNA(MATCH($A169,'Loans (reference)'!$A$2:$A$500,0)),"UID not in Loans tab",IF($E169="","Add payment no.",IF(COUNTIFS($A$2:$A$300,$A169,$E$2:$E$300,$E169)&gt;1,"Duplicate payment no.",IF($F169="","Add payment date",IF(COUNT($G169:$I169)=0,"Add an amount","Ready")))))))</f>
        <v/>
      </c>
      <c r="P169" s="19"/>
      <c r="Q169" s="20"/>
    </row>
    <row r="170" customFormat="false" ht="15" hidden="false" customHeight="false" outlineLevel="0" collapsed="false">
      <c r="A170" s="12"/>
      <c r="B170" s="13" t="str">
        <f aca="false">IF($A170="","",IFERROR(INDEX('Loans (reference)'!$B$2:$B$500,MATCH($A170,'Loans (reference)'!$A$2:$A$500,0)),"not found"))</f>
        <v/>
      </c>
      <c r="C170" s="14" t="str">
        <f aca="false">IF($A170="","",IFERROR(INDEX('Loans (reference)'!$E$2:$E$500,MATCH($A170,'Loans (reference)'!$A$2:$A$500,0)),""))</f>
        <v/>
      </c>
      <c r="D170" s="13" t="str">
        <f aca="false">IF($A170="","",IFERROR(INDEX('Loans (reference)'!$K$2:$K$500,MATCH($A170,'Loans (reference)'!$A$2:$A$500,0)),""))</f>
        <v/>
      </c>
      <c r="E170" s="15"/>
      <c r="F170" s="16"/>
      <c r="G170" s="17"/>
      <c r="H170" s="17"/>
      <c r="I170" s="17"/>
      <c r="J170" s="17"/>
      <c r="K170" s="18" t="str">
        <f aca="false">IF(COUNT($G170:$I170)=0,"",SUM($G170:$I170))</f>
        <v/>
      </c>
      <c r="L170" s="15"/>
      <c r="M170" s="15"/>
      <c r="N170" s="15"/>
      <c r="O170" s="13" t="str">
        <f aca="false">IF(COUNTA($A170,$E170:$J170,$L170:$N170)=0,"",IF($A170="","Add Loan UID",IF(ISNA(MATCH($A170,'Loans (reference)'!$A$2:$A$500,0)),"UID not in Loans tab",IF($E170="","Add payment no.",IF(COUNTIFS($A$2:$A$300,$A170,$E$2:$E$300,$E170)&gt;1,"Duplicate payment no.",IF($F170="","Add payment date",IF(COUNT($G170:$I170)=0,"Add an amount","Ready")))))))</f>
        <v/>
      </c>
      <c r="P170" s="19"/>
      <c r="Q170" s="20"/>
    </row>
    <row r="171" customFormat="false" ht="15" hidden="false" customHeight="false" outlineLevel="0" collapsed="false">
      <c r="A171" s="12"/>
      <c r="B171" s="13" t="str">
        <f aca="false">IF($A171="","",IFERROR(INDEX('Loans (reference)'!$B$2:$B$500,MATCH($A171,'Loans (reference)'!$A$2:$A$500,0)),"not found"))</f>
        <v/>
      </c>
      <c r="C171" s="14" t="str">
        <f aca="false">IF($A171="","",IFERROR(INDEX('Loans (reference)'!$E$2:$E$500,MATCH($A171,'Loans (reference)'!$A$2:$A$500,0)),""))</f>
        <v/>
      </c>
      <c r="D171" s="13" t="str">
        <f aca="false">IF($A171="","",IFERROR(INDEX('Loans (reference)'!$K$2:$K$500,MATCH($A171,'Loans (reference)'!$A$2:$A$500,0)),""))</f>
        <v/>
      </c>
      <c r="E171" s="15"/>
      <c r="F171" s="16"/>
      <c r="G171" s="17"/>
      <c r="H171" s="17"/>
      <c r="I171" s="17"/>
      <c r="J171" s="17"/>
      <c r="K171" s="18" t="str">
        <f aca="false">IF(COUNT($G171:$I171)=0,"",SUM($G171:$I171))</f>
        <v/>
      </c>
      <c r="L171" s="15"/>
      <c r="M171" s="15"/>
      <c r="N171" s="15"/>
      <c r="O171" s="13" t="str">
        <f aca="false">IF(COUNTA($A171,$E171:$J171,$L171:$N171)=0,"",IF($A171="","Add Loan UID",IF(ISNA(MATCH($A171,'Loans (reference)'!$A$2:$A$500,0)),"UID not in Loans tab",IF($E171="","Add payment no.",IF(COUNTIFS($A$2:$A$300,$A171,$E$2:$E$300,$E171)&gt;1,"Duplicate payment no.",IF($F171="","Add payment date",IF(COUNT($G171:$I171)=0,"Add an amount","Ready")))))))</f>
        <v/>
      </c>
      <c r="P171" s="19"/>
      <c r="Q171" s="20"/>
    </row>
    <row r="172" customFormat="false" ht="15" hidden="false" customHeight="false" outlineLevel="0" collapsed="false">
      <c r="A172" s="12"/>
      <c r="B172" s="13" t="str">
        <f aca="false">IF($A172="","",IFERROR(INDEX('Loans (reference)'!$B$2:$B$500,MATCH($A172,'Loans (reference)'!$A$2:$A$500,0)),"not found"))</f>
        <v/>
      </c>
      <c r="C172" s="14" t="str">
        <f aca="false">IF($A172="","",IFERROR(INDEX('Loans (reference)'!$E$2:$E$500,MATCH($A172,'Loans (reference)'!$A$2:$A$500,0)),""))</f>
        <v/>
      </c>
      <c r="D172" s="13" t="str">
        <f aca="false">IF($A172="","",IFERROR(INDEX('Loans (reference)'!$K$2:$K$500,MATCH($A172,'Loans (reference)'!$A$2:$A$500,0)),""))</f>
        <v/>
      </c>
      <c r="E172" s="15"/>
      <c r="F172" s="16"/>
      <c r="G172" s="17"/>
      <c r="H172" s="17"/>
      <c r="I172" s="17"/>
      <c r="J172" s="17"/>
      <c r="K172" s="18" t="str">
        <f aca="false">IF(COUNT($G172:$I172)=0,"",SUM($G172:$I172))</f>
        <v/>
      </c>
      <c r="L172" s="15"/>
      <c r="M172" s="15"/>
      <c r="N172" s="15"/>
      <c r="O172" s="13" t="str">
        <f aca="false">IF(COUNTA($A172,$E172:$J172,$L172:$N172)=0,"",IF($A172="","Add Loan UID",IF(ISNA(MATCH($A172,'Loans (reference)'!$A$2:$A$500,0)),"UID not in Loans tab",IF($E172="","Add payment no.",IF(COUNTIFS($A$2:$A$300,$A172,$E$2:$E$300,$E172)&gt;1,"Duplicate payment no.",IF($F172="","Add payment date",IF(COUNT($G172:$I172)=0,"Add an amount","Ready")))))))</f>
        <v/>
      </c>
      <c r="P172" s="19"/>
      <c r="Q172" s="20"/>
    </row>
    <row r="173" customFormat="false" ht="15" hidden="false" customHeight="false" outlineLevel="0" collapsed="false">
      <c r="A173" s="12"/>
      <c r="B173" s="13" t="str">
        <f aca="false">IF($A173="","",IFERROR(INDEX('Loans (reference)'!$B$2:$B$500,MATCH($A173,'Loans (reference)'!$A$2:$A$500,0)),"not found"))</f>
        <v/>
      </c>
      <c r="C173" s="14" t="str">
        <f aca="false">IF($A173="","",IFERROR(INDEX('Loans (reference)'!$E$2:$E$500,MATCH($A173,'Loans (reference)'!$A$2:$A$500,0)),""))</f>
        <v/>
      </c>
      <c r="D173" s="13" t="str">
        <f aca="false">IF($A173="","",IFERROR(INDEX('Loans (reference)'!$K$2:$K$500,MATCH($A173,'Loans (reference)'!$A$2:$A$500,0)),""))</f>
        <v/>
      </c>
      <c r="E173" s="15"/>
      <c r="F173" s="16"/>
      <c r="G173" s="17"/>
      <c r="H173" s="17"/>
      <c r="I173" s="17"/>
      <c r="J173" s="17"/>
      <c r="K173" s="18" t="str">
        <f aca="false">IF(COUNT($G173:$I173)=0,"",SUM($G173:$I173))</f>
        <v/>
      </c>
      <c r="L173" s="15"/>
      <c r="M173" s="15"/>
      <c r="N173" s="15"/>
      <c r="O173" s="13" t="str">
        <f aca="false">IF(COUNTA($A173,$E173:$J173,$L173:$N173)=0,"",IF($A173="","Add Loan UID",IF(ISNA(MATCH($A173,'Loans (reference)'!$A$2:$A$500,0)),"UID not in Loans tab",IF($E173="","Add payment no.",IF(COUNTIFS($A$2:$A$300,$A173,$E$2:$E$300,$E173)&gt;1,"Duplicate payment no.",IF($F173="","Add payment date",IF(COUNT($G173:$I173)=0,"Add an amount","Ready")))))))</f>
        <v/>
      </c>
      <c r="P173" s="19"/>
      <c r="Q173" s="20"/>
    </row>
    <row r="174" customFormat="false" ht="15" hidden="false" customHeight="false" outlineLevel="0" collapsed="false">
      <c r="A174" s="12"/>
      <c r="B174" s="13" t="str">
        <f aca="false">IF($A174="","",IFERROR(INDEX('Loans (reference)'!$B$2:$B$500,MATCH($A174,'Loans (reference)'!$A$2:$A$500,0)),"not found"))</f>
        <v/>
      </c>
      <c r="C174" s="14" t="str">
        <f aca="false">IF($A174="","",IFERROR(INDEX('Loans (reference)'!$E$2:$E$500,MATCH($A174,'Loans (reference)'!$A$2:$A$500,0)),""))</f>
        <v/>
      </c>
      <c r="D174" s="13" t="str">
        <f aca="false">IF($A174="","",IFERROR(INDEX('Loans (reference)'!$K$2:$K$500,MATCH($A174,'Loans (reference)'!$A$2:$A$500,0)),""))</f>
        <v/>
      </c>
      <c r="E174" s="15"/>
      <c r="F174" s="16"/>
      <c r="G174" s="17"/>
      <c r="H174" s="17"/>
      <c r="I174" s="17"/>
      <c r="J174" s="17"/>
      <c r="K174" s="18" t="str">
        <f aca="false">IF(COUNT($G174:$I174)=0,"",SUM($G174:$I174))</f>
        <v/>
      </c>
      <c r="L174" s="15"/>
      <c r="M174" s="15"/>
      <c r="N174" s="15"/>
      <c r="O174" s="13" t="str">
        <f aca="false">IF(COUNTA($A174,$E174:$J174,$L174:$N174)=0,"",IF($A174="","Add Loan UID",IF(ISNA(MATCH($A174,'Loans (reference)'!$A$2:$A$500,0)),"UID not in Loans tab",IF($E174="","Add payment no.",IF(COUNTIFS($A$2:$A$300,$A174,$E$2:$E$300,$E174)&gt;1,"Duplicate payment no.",IF($F174="","Add payment date",IF(COUNT($G174:$I174)=0,"Add an amount","Ready")))))))</f>
        <v/>
      </c>
      <c r="P174" s="19"/>
      <c r="Q174" s="20"/>
    </row>
    <row r="175" customFormat="false" ht="15" hidden="false" customHeight="false" outlineLevel="0" collapsed="false">
      <c r="A175" s="12"/>
      <c r="B175" s="13" t="str">
        <f aca="false">IF($A175="","",IFERROR(INDEX('Loans (reference)'!$B$2:$B$500,MATCH($A175,'Loans (reference)'!$A$2:$A$500,0)),"not found"))</f>
        <v/>
      </c>
      <c r="C175" s="14" t="str">
        <f aca="false">IF($A175="","",IFERROR(INDEX('Loans (reference)'!$E$2:$E$500,MATCH($A175,'Loans (reference)'!$A$2:$A$500,0)),""))</f>
        <v/>
      </c>
      <c r="D175" s="13" t="str">
        <f aca="false">IF($A175="","",IFERROR(INDEX('Loans (reference)'!$K$2:$K$500,MATCH($A175,'Loans (reference)'!$A$2:$A$500,0)),""))</f>
        <v/>
      </c>
      <c r="E175" s="15"/>
      <c r="F175" s="16"/>
      <c r="G175" s="17"/>
      <c r="H175" s="17"/>
      <c r="I175" s="17"/>
      <c r="J175" s="17"/>
      <c r="K175" s="18" t="str">
        <f aca="false">IF(COUNT($G175:$I175)=0,"",SUM($G175:$I175))</f>
        <v/>
      </c>
      <c r="L175" s="15"/>
      <c r="M175" s="15"/>
      <c r="N175" s="15"/>
      <c r="O175" s="13" t="str">
        <f aca="false">IF(COUNTA($A175,$E175:$J175,$L175:$N175)=0,"",IF($A175="","Add Loan UID",IF(ISNA(MATCH($A175,'Loans (reference)'!$A$2:$A$500,0)),"UID not in Loans tab",IF($E175="","Add payment no.",IF(COUNTIFS($A$2:$A$300,$A175,$E$2:$E$300,$E175)&gt;1,"Duplicate payment no.",IF($F175="","Add payment date",IF(COUNT($G175:$I175)=0,"Add an amount","Ready")))))))</f>
        <v/>
      </c>
      <c r="P175" s="19"/>
      <c r="Q175" s="20"/>
    </row>
    <row r="176" customFormat="false" ht="15" hidden="false" customHeight="false" outlineLevel="0" collapsed="false">
      <c r="A176" s="12"/>
      <c r="B176" s="13" t="str">
        <f aca="false">IF($A176="","",IFERROR(INDEX('Loans (reference)'!$B$2:$B$500,MATCH($A176,'Loans (reference)'!$A$2:$A$500,0)),"not found"))</f>
        <v/>
      </c>
      <c r="C176" s="14" t="str">
        <f aca="false">IF($A176="","",IFERROR(INDEX('Loans (reference)'!$E$2:$E$500,MATCH($A176,'Loans (reference)'!$A$2:$A$500,0)),""))</f>
        <v/>
      </c>
      <c r="D176" s="13" t="str">
        <f aca="false">IF($A176="","",IFERROR(INDEX('Loans (reference)'!$K$2:$K$500,MATCH($A176,'Loans (reference)'!$A$2:$A$500,0)),""))</f>
        <v/>
      </c>
      <c r="E176" s="15"/>
      <c r="F176" s="16"/>
      <c r="G176" s="17"/>
      <c r="H176" s="17"/>
      <c r="I176" s="17"/>
      <c r="J176" s="17"/>
      <c r="K176" s="18" t="str">
        <f aca="false">IF(COUNT($G176:$I176)=0,"",SUM($G176:$I176))</f>
        <v/>
      </c>
      <c r="L176" s="15"/>
      <c r="M176" s="15"/>
      <c r="N176" s="15"/>
      <c r="O176" s="13" t="str">
        <f aca="false">IF(COUNTA($A176,$E176:$J176,$L176:$N176)=0,"",IF($A176="","Add Loan UID",IF(ISNA(MATCH($A176,'Loans (reference)'!$A$2:$A$500,0)),"UID not in Loans tab",IF($E176="","Add payment no.",IF(COUNTIFS($A$2:$A$300,$A176,$E$2:$E$300,$E176)&gt;1,"Duplicate payment no.",IF($F176="","Add payment date",IF(COUNT($G176:$I176)=0,"Add an amount","Ready")))))))</f>
        <v/>
      </c>
      <c r="P176" s="19"/>
      <c r="Q176" s="20"/>
    </row>
    <row r="177" customFormat="false" ht="15" hidden="false" customHeight="false" outlineLevel="0" collapsed="false">
      <c r="A177" s="12"/>
      <c r="B177" s="13" t="str">
        <f aca="false">IF($A177="","",IFERROR(INDEX('Loans (reference)'!$B$2:$B$500,MATCH($A177,'Loans (reference)'!$A$2:$A$500,0)),"not found"))</f>
        <v/>
      </c>
      <c r="C177" s="14" t="str">
        <f aca="false">IF($A177="","",IFERROR(INDEX('Loans (reference)'!$E$2:$E$500,MATCH($A177,'Loans (reference)'!$A$2:$A$500,0)),""))</f>
        <v/>
      </c>
      <c r="D177" s="13" t="str">
        <f aca="false">IF($A177="","",IFERROR(INDEX('Loans (reference)'!$K$2:$K$500,MATCH($A177,'Loans (reference)'!$A$2:$A$500,0)),""))</f>
        <v/>
      </c>
      <c r="E177" s="15"/>
      <c r="F177" s="16"/>
      <c r="G177" s="17"/>
      <c r="H177" s="17"/>
      <c r="I177" s="17"/>
      <c r="J177" s="17"/>
      <c r="K177" s="18" t="str">
        <f aca="false">IF(COUNT($G177:$I177)=0,"",SUM($G177:$I177))</f>
        <v/>
      </c>
      <c r="L177" s="15"/>
      <c r="M177" s="15"/>
      <c r="N177" s="15"/>
      <c r="O177" s="13" t="str">
        <f aca="false">IF(COUNTA($A177,$E177:$J177,$L177:$N177)=0,"",IF($A177="","Add Loan UID",IF(ISNA(MATCH($A177,'Loans (reference)'!$A$2:$A$500,0)),"UID not in Loans tab",IF($E177="","Add payment no.",IF(COUNTIFS($A$2:$A$300,$A177,$E$2:$E$300,$E177)&gt;1,"Duplicate payment no.",IF($F177="","Add payment date",IF(COUNT($G177:$I177)=0,"Add an amount","Ready")))))))</f>
        <v/>
      </c>
      <c r="P177" s="19"/>
      <c r="Q177" s="20"/>
    </row>
    <row r="178" customFormat="false" ht="15" hidden="false" customHeight="false" outlineLevel="0" collapsed="false">
      <c r="A178" s="12"/>
      <c r="B178" s="13" t="str">
        <f aca="false">IF($A178="","",IFERROR(INDEX('Loans (reference)'!$B$2:$B$500,MATCH($A178,'Loans (reference)'!$A$2:$A$500,0)),"not found"))</f>
        <v/>
      </c>
      <c r="C178" s="14" t="str">
        <f aca="false">IF($A178="","",IFERROR(INDEX('Loans (reference)'!$E$2:$E$500,MATCH($A178,'Loans (reference)'!$A$2:$A$500,0)),""))</f>
        <v/>
      </c>
      <c r="D178" s="13" t="str">
        <f aca="false">IF($A178="","",IFERROR(INDEX('Loans (reference)'!$K$2:$K$500,MATCH($A178,'Loans (reference)'!$A$2:$A$500,0)),""))</f>
        <v/>
      </c>
      <c r="E178" s="15"/>
      <c r="F178" s="16"/>
      <c r="G178" s="17"/>
      <c r="H178" s="17"/>
      <c r="I178" s="17"/>
      <c r="J178" s="17"/>
      <c r="K178" s="18" t="str">
        <f aca="false">IF(COUNT($G178:$I178)=0,"",SUM($G178:$I178))</f>
        <v/>
      </c>
      <c r="L178" s="15"/>
      <c r="M178" s="15"/>
      <c r="N178" s="15"/>
      <c r="O178" s="13" t="str">
        <f aca="false">IF(COUNTA($A178,$E178:$J178,$L178:$N178)=0,"",IF($A178="","Add Loan UID",IF(ISNA(MATCH($A178,'Loans (reference)'!$A$2:$A$500,0)),"UID not in Loans tab",IF($E178="","Add payment no.",IF(COUNTIFS($A$2:$A$300,$A178,$E$2:$E$300,$E178)&gt;1,"Duplicate payment no.",IF($F178="","Add payment date",IF(COUNT($G178:$I178)=0,"Add an amount","Ready")))))))</f>
        <v/>
      </c>
      <c r="P178" s="19"/>
      <c r="Q178" s="20"/>
    </row>
    <row r="179" customFormat="false" ht="15" hidden="false" customHeight="false" outlineLevel="0" collapsed="false">
      <c r="A179" s="12"/>
      <c r="B179" s="13" t="str">
        <f aca="false">IF($A179="","",IFERROR(INDEX('Loans (reference)'!$B$2:$B$500,MATCH($A179,'Loans (reference)'!$A$2:$A$500,0)),"not found"))</f>
        <v/>
      </c>
      <c r="C179" s="14" t="str">
        <f aca="false">IF($A179="","",IFERROR(INDEX('Loans (reference)'!$E$2:$E$500,MATCH($A179,'Loans (reference)'!$A$2:$A$500,0)),""))</f>
        <v/>
      </c>
      <c r="D179" s="13" t="str">
        <f aca="false">IF($A179="","",IFERROR(INDEX('Loans (reference)'!$K$2:$K$500,MATCH($A179,'Loans (reference)'!$A$2:$A$500,0)),""))</f>
        <v/>
      </c>
      <c r="E179" s="15"/>
      <c r="F179" s="16"/>
      <c r="G179" s="17"/>
      <c r="H179" s="17"/>
      <c r="I179" s="17"/>
      <c r="J179" s="17"/>
      <c r="K179" s="18" t="str">
        <f aca="false">IF(COUNT($G179:$I179)=0,"",SUM($G179:$I179))</f>
        <v/>
      </c>
      <c r="L179" s="15"/>
      <c r="M179" s="15"/>
      <c r="N179" s="15"/>
      <c r="O179" s="13" t="str">
        <f aca="false">IF(COUNTA($A179,$E179:$J179,$L179:$N179)=0,"",IF($A179="","Add Loan UID",IF(ISNA(MATCH($A179,'Loans (reference)'!$A$2:$A$500,0)),"UID not in Loans tab",IF($E179="","Add payment no.",IF(COUNTIFS($A$2:$A$300,$A179,$E$2:$E$300,$E179)&gt;1,"Duplicate payment no.",IF($F179="","Add payment date",IF(COUNT($G179:$I179)=0,"Add an amount","Ready")))))))</f>
        <v/>
      </c>
      <c r="P179" s="19"/>
      <c r="Q179" s="20"/>
    </row>
    <row r="180" customFormat="false" ht="15" hidden="false" customHeight="false" outlineLevel="0" collapsed="false">
      <c r="A180" s="12"/>
      <c r="B180" s="13" t="str">
        <f aca="false">IF($A180="","",IFERROR(INDEX('Loans (reference)'!$B$2:$B$500,MATCH($A180,'Loans (reference)'!$A$2:$A$500,0)),"not found"))</f>
        <v/>
      </c>
      <c r="C180" s="14" t="str">
        <f aca="false">IF($A180="","",IFERROR(INDEX('Loans (reference)'!$E$2:$E$500,MATCH($A180,'Loans (reference)'!$A$2:$A$500,0)),""))</f>
        <v/>
      </c>
      <c r="D180" s="13" t="str">
        <f aca="false">IF($A180="","",IFERROR(INDEX('Loans (reference)'!$K$2:$K$500,MATCH($A180,'Loans (reference)'!$A$2:$A$500,0)),""))</f>
        <v/>
      </c>
      <c r="E180" s="15"/>
      <c r="F180" s="16"/>
      <c r="G180" s="17"/>
      <c r="H180" s="17"/>
      <c r="I180" s="17"/>
      <c r="J180" s="17"/>
      <c r="K180" s="18" t="str">
        <f aca="false">IF(COUNT($G180:$I180)=0,"",SUM($G180:$I180))</f>
        <v/>
      </c>
      <c r="L180" s="15"/>
      <c r="M180" s="15"/>
      <c r="N180" s="15"/>
      <c r="O180" s="13" t="str">
        <f aca="false">IF(COUNTA($A180,$E180:$J180,$L180:$N180)=0,"",IF($A180="","Add Loan UID",IF(ISNA(MATCH($A180,'Loans (reference)'!$A$2:$A$500,0)),"UID not in Loans tab",IF($E180="","Add payment no.",IF(COUNTIFS($A$2:$A$300,$A180,$E$2:$E$300,$E180)&gt;1,"Duplicate payment no.",IF($F180="","Add payment date",IF(COUNT($G180:$I180)=0,"Add an amount","Ready")))))))</f>
        <v/>
      </c>
      <c r="P180" s="19"/>
      <c r="Q180" s="20"/>
    </row>
    <row r="181" customFormat="false" ht="15" hidden="false" customHeight="false" outlineLevel="0" collapsed="false">
      <c r="A181" s="12"/>
      <c r="B181" s="13" t="str">
        <f aca="false">IF($A181="","",IFERROR(INDEX('Loans (reference)'!$B$2:$B$500,MATCH($A181,'Loans (reference)'!$A$2:$A$500,0)),"not found"))</f>
        <v/>
      </c>
      <c r="C181" s="14" t="str">
        <f aca="false">IF($A181="","",IFERROR(INDEX('Loans (reference)'!$E$2:$E$500,MATCH($A181,'Loans (reference)'!$A$2:$A$500,0)),""))</f>
        <v/>
      </c>
      <c r="D181" s="13" t="str">
        <f aca="false">IF($A181="","",IFERROR(INDEX('Loans (reference)'!$K$2:$K$500,MATCH($A181,'Loans (reference)'!$A$2:$A$500,0)),""))</f>
        <v/>
      </c>
      <c r="E181" s="15"/>
      <c r="F181" s="16"/>
      <c r="G181" s="17"/>
      <c r="H181" s="17"/>
      <c r="I181" s="17"/>
      <c r="J181" s="17"/>
      <c r="K181" s="18" t="str">
        <f aca="false">IF(COUNT($G181:$I181)=0,"",SUM($G181:$I181))</f>
        <v/>
      </c>
      <c r="L181" s="15"/>
      <c r="M181" s="15"/>
      <c r="N181" s="15"/>
      <c r="O181" s="13" t="str">
        <f aca="false">IF(COUNTA($A181,$E181:$J181,$L181:$N181)=0,"",IF($A181="","Add Loan UID",IF(ISNA(MATCH($A181,'Loans (reference)'!$A$2:$A$500,0)),"UID not in Loans tab",IF($E181="","Add payment no.",IF(COUNTIFS($A$2:$A$300,$A181,$E$2:$E$300,$E181)&gt;1,"Duplicate payment no.",IF($F181="","Add payment date",IF(COUNT($G181:$I181)=0,"Add an amount","Ready")))))))</f>
        <v/>
      </c>
      <c r="P181" s="19"/>
      <c r="Q181" s="20"/>
    </row>
    <row r="182" customFormat="false" ht="15" hidden="false" customHeight="false" outlineLevel="0" collapsed="false">
      <c r="A182" s="12"/>
      <c r="B182" s="13" t="str">
        <f aca="false">IF($A182="","",IFERROR(INDEX('Loans (reference)'!$B$2:$B$500,MATCH($A182,'Loans (reference)'!$A$2:$A$500,0)),"not found"))</f>
        <v/>
      </c>
      <c r="C182" s="14" t="str">
        <f aca="false">IF($A182="","",IFERROR(INDEX('Loans (reference)'!$E$2:$E$500,MATCH($A182,'Loans (reference)'!$A$2:$A$500,0)),""))</f>
        <v/>
      </c>
      <c r="D182" s="13" t="str">
        <f aca="false">IF($A182="","",IFERROR(INDEX('Loans (reference)'!$K$2:$K$500,MATCH($A182,'Loans (reference)'!$A$2:$A$500,0)),""))</f>
        <v/>
      </c>
      <c r="E182" s="15"/>
      <c r="F182" s="16"/>
      <c r="G182" s="17"/>
      <c r="H182" s="17"/>
      <c r="I182" s="17"/>
      <c r="J182" s="17"/>
      <c r="K182" s="18" t="str">
        <f aca="false">IF(COUNT($G182:$I182)=0,"",SUM($G182:$I182))</f>
        <v/>
      </c>
      <c r="L182" s="15"/>
      <c r="M182" s="15"/>
      <c r="N182" s="15"/>
      <c r="O182" s="13" t="str">
        <f aca="false">IF(COUNTA($A182,$E182:$J182,$L182:$N182)=0,"",IF($A182="","Add Loan UID",IF(ISNA(MATCH($A182,'Loans (reference)'!$A$2:$A$500,0)),"UID not in Loans tab",IF($E182="","Add payment no.",IF(COUNTIFS($A$2:$A$300,$A182,$E$2:$E$300,$E182)&gt;1,"Duplicate payment no.",IF($F182="","Add payment date",IF(COUNT($G182:$I182)=0,"Add an amount","Ready")))))))</f>
        <v/>
      </c>
      <c r="P182" s="19"/>
      <c r="Q182" s="20"/>
    </row>
    <row r="183" customFormat="false" ht="15" hidden="false" customHeight="false" outlineLevel="0" collapsed="false">
      <c r="A183" s="12"/>
      <c r="B183" s="13" t="str">
        <f aca="false">IF($A183="","",IFERROR(INDEX('Loans (reference)'!$B$2:$B$500,MATCH($A183,'Loans (reference)'!$A$2:$A$500,0)),"not found"))</f>
        <v/>
      </c>
      <c r="C183" s="14" t="str">
        <f aca="false">IF($A183="","",IFERROR(INDEX('Loans (reference)'!$E$2:$E$500,MATCH($A183,'Loans (reference)'!$A$2:$A$500,0)),""))</f>
        <v/>
      </c>
      <c r="D183" s="13" t="str">
        <f aca="false">IF($A183="","",IFERROR(INDEX('Loans (reference)'!$K$2:$K$500,MATCH($A183,'Loans (reference)'!$A$2:$A$500,0)),""))</f>
        <v/>
      </c>
      <c r="E183" s="15"/>
      <c r="F183" s="16"/>
      <c r="G183" s="17"/>
      <c r="H183" s="17"/>
      <c r="I183" s="17"/>
      <c r="J183" s="17"/>
      <c r="K183" s="18" t="str">
        <f aca="false">IF(COUNT($G183:$I183)=0,"",SUM($G183:$I183))</f>
        <v/>
      </c>
      <c r="L183" s="15"/>
      <c r="M183" s="15"/>
      <c r="N183" s="15"/>
      <c r="O183" s="13" t="str">
        <f aca="false">IF(COUNTA($A183,$E183:$J183,$L183:$N183)=0,"",IF($A183="","Add Loan UID",IF(ISNA(MATCH($A183,'Loans (reference)'!$A$2:$A$500,0)),"UID not in Loans tab",IF($E183="","Add payment no.",IF(COUNTIFS($A$2:$A$300,$A183,$E$2:$E$300,$E183)&gt;1,"Duplicate payment no.",IF($F183="","Add payment date",IF(COUNT($G183:$I183)=0,"Add an amount","Ready")))))))</f>
        <v/>
      </c>
      <c r="P183" s="19"/>
      <c r="Q183" s="20"/>
    </row>
    <row r="184" customFormat="false" ht="15" hidden="false" customHeight="false" outlineLevel="0" collapsed="false">
      <c r="A184" s="12"/>
      <c r="B184" s="13" t="str">
        <f aca="false">IF($A184="","",IFERROR(INDEX('Loans (reference)'!$B$2:$B$500,MATCH($A184,'Loans (reference)'!$A$2:$A$500,0)),"not found"))</f>
        <v/>
      </c>
      <c r="C184" s="14" t="str">
        <f aca="false">IF($A184="","",IFERROR(INDEX('Loans (reference)'!$E$2:$E$500,MATCH($A184,'Loans (reference)'!$A$2:$A$500,0)),""))</f>
        <v/>
      </c>
      <c r="D184" s="13" t="str">
        <f aca="false">IF($A184="","",IFERROR(INDEX('Loans (reference)'!$K$2:$K$500,MATCH($A184,'Loans (reference)'!$A$2:$A$500,0)),""))</f>
        <v/>
      </c>
      <c r="E184" s="15"/>
      <c r="F184" s="16"/>
      <c r="G184" s="17"/>
      <c r="H184" s="17"/>
      <c r="I184" s="17"/>
      <c r="J184" s="17"/>
      <c r="K184" s="18" t="str">
        <f aca="false">IF(COUNT($G184:$I184)=0,"",SUM($G184:$I184))</f>
        <v/>
      </c>
      <c r="L184" s="15"/>
      <c r="M184" s="15"/>
      <c r="N184" s="15"/>
      <c r="O184" s="13" t="str">
        <f aca="false">IF(COUNTA($A184,$E184:$J184,$L184:$N184)=0,"",IF($A184="","Add Loan UID",IF(ISNA(MATCH($A184,'Loans (reference)'!$A$2:$A$500,0)),"UID not in Loans tab",IF($E184="","Add payment no.",IF(COUNTIFS($A$2:$A$300,$A184,$E$2:$E$300,$E184)&gt;1,"Duplicate payment no.",IF($F184="","Add payment date",IF(COUNT($G184:$I184)=0,"Add an amount","Ready")))))))</f>
        <v/>
      </c>
      <c r="P184" s="19"/>
      <c r="Q184" s="20"/>
    </row>
    <row r="185" customFormat="false" ht="15" hidden="false" customHeight="false" outlineLevel="0" collapsed="false">
      <c r="A185" s="12"/>
      <c r="B185" s="13" t="str">
        <f aca="false">IF($A185="","",IFERROR(INDEX('Loans (reference)'!$B$2:$B$500,MATCH($A185,'Loans (reference)'!$A$2:$A$500,0)),"not found"))</f>
        <v/>
      </c>
      <c r="C185" s="14" t="str">
        <f aca="false">IF($A185="","",IFERROR(INDEX('Loans (reference)'!$E$2:$E$500,MATCH($A185,'Loans (reference)'!$A$2:$A$500,0)),""))</f>
        <v/>
      </c>
      <c r="D185" s="13" t="str">
        <f aca="false">IF($A185="","",IFERROR(INDEX('Loans (reference)'!$K$2:$K$500,MATCH($A185,'Loans (reference)'!$A$2:$A$500,0)),""))</f>
        <v/>
      </c>
      <c r="E185" s="15"/>
      <c r="F185" s="16"/>
      <c r="G185" s="17"/>
      <c r="H185" s="17"/>
      <c r="I185" s="17"/>
      <c r="J185" s="17"/>
      <c r="K185" s="18" t="str">
        <f aca="false">IF(COUNT($G185:$I185)=0,"",SUM($G185:$I185))</f>
        <v/>
      </c>
      <c r="L185" s="15"/>
      <c r="M185" s="15"/>
      <c r="N185" s="15"/>
      <c r="O185" s="13" t="str">
        <f aca="false">IF(COUNTA($A185,$E185:$J185,$L185:$N185)=0,"",IF($A185="","Add Loan UID",IF(ISNA(MATCH($A185,'Loans (reference)'!$A$2:$A$500,0)),"UID not in Loans tab",IF($E185="","Add payment no.",IF(COUNTIFS($A$2:$A$300,$A185,$E$2:$E$300,$E185)&gt;1,"Duplicate payment no.",IF($F185="","Add payment date",IF(COUNT($G185:$I185)=0,"Add an amount","Ready")))))))</f>
        <v/>
      </c>
      <c r="P185" s="19"/>
      <c r="Q185" s="20"/>
    </row>
    <row r="186" customFormat="false" ht="15" hidden="false" customHeight="false" outlineLevel="0" collapsed="false">
      <c r="A186" s="12"/>
      <c r="B186" s="13" t="str">
        <f aca="false">IF($A186="","",IFERROR(INDEX('Loans (reference)'!$B$2:$B$500,MATCH($A186,'Loans (reference)'!$A$2:$A$500,0)),"not found"))</f>
        <v/>
      </c>
      <c r="C186" s="14" t="str">
        <f aca="false">IF($A186="","",IFERROR(INDEX('Loans (reference)'!$E$2:$E$500,MATCH($A186,'Loans (reference)'!$A$2:$A$500,0)),""))</f>
        <v/>
      </c>
      <c r="D186" s="13" t="str">
        <f aca="false">IF($A186="","",IFERROR(INDEX('Loans (reference)'!$K$2:$K$500,MATCH($A186,'Loans (reference)'!$A$2:$A$500,0)),""))</f>
        <v/>
      </c>
      <c r="E186" s="15"/>
      <c r="F186" s="16"/>
      <c r="G186" s="17"/>
      <c r="H186" s="17"/>
      <c r="I186" s="17"/>
      <c r="J186" s="17"/>
      <c r="K186" s="18" t="str">
        <f aca="false">IF(COUNT($G186:$I186)=0,"",SUM($G186:$I186))</f>
        <v/>
      </c>
      <c r="L186" s="15"/>
      <c r="M186" s="15"/>
      <c r="N186" s="15"/>
      <c r="O186" s="13" t="str">
        <f aca="false">IF(COUNTA($A186,$E186:$J186,$L186:$N186)=0,"",IF($A186="","Add Loan UID",IF(ISNA(MATCH($A186,'Loans (reference)'!$A$2:$A$500,0)),"UID not in Loans tab",IF($E186="","Add payment no.",IF(COUNTIFS($A$2:$A$300,$A186,$E$2:$E$300,$E186)&gt;1,"Duplicate payment no.",IF($F186="","Add payment date",IF(COUNT($G186:$I186)=0,"Add an amount","Ready")))))))</f>
        <v/>
      </c>
      <c r="P186" s="19"/>
      <c r="Q186" s="20"/>
    </row>
    <row r="187" customFormat="false" ht="15" hidden="false" customHeight="false" outlineLevel="0" collapsed="false">
      <c r="A187" s="12"/>
      <c r="B187" s="13" t="str">
        <f aca="false">IF($A187="","",IFERROR(INDEX('Loans (reference)'!$B$2:$B$500,MATCH($A187,'Loans (reference)'!$A$2:$A$500,0)),"not found"))</f>
        <v/>
      </c>
      <c r="C187" s="14" t="str">
        <f aca="false">IF($A187="","",IFERROR(INDEX('Loans (reference)'!$E$2:$E$500,MATCH($A187,'Loans (reference)'!$A$2:$A$500,0)),""))</f>
        <v/>
      </c>
      <c r="D187" s="13" t="str">
        <f aca="false">IF($A187="","",IFERROR(INDEX('Loans (reference)'!$K$2:$K$500,MATCH($A187,'Loans (reference)'!$A$2:$A$500,0)),""))</f>
        <v/>
      </c>
      <c r="E187" s="15"/>
      <c r="F187" s="16"/>
      <c r="G187" s="17"/>
      <c r="H187" s="17"/>
      <c r="I187" s="17"/>
      <c r="J187" s="17"/>
      <c r="K187" s="18" t="str">
        <f aca="false">IF(COUNT($G187:$I187)=0,"",SUM($G187:$I187))</f>
        <v/>
      </c>
      <c r="L187" s="15"/>
      <c r="M187" s="15"/>
      <c r="N187" s="15"/>
      <c r="O187" s="13" t="str">
        <f aca="false">IF(COUNTA($A187,$E187:$J187,$L187:$N187)=0,"",IF($A187="","Add Loan UID",IF(ISNA(MATCH($A187,'Loans (reference)'!$A$2:$A$500,0)),"UID not in Loans tab",IF($E187="","Add payment no.",IF(COUNTIFS($A$2:$A$300,$A187,$E$2:$E$300,$E187)&gt;1,"Duplicate payment no.",IF($F187="","Add payment date",IF(COUNT($G187:$I187)=0,"Add an amount","Ready")))))))</f>
        <v/>
      </c>
      <c r="P187" s="19"/>
      <c r="Q187" s="20"/>
    </row>
    <row r="188" customFormat="false" ht="15" hidden="false" customHeight="false" outlineLevel="0" collapsed="false">
      <c r="A188" s="12"/>
      <c r="B188" s="13" t="str">
        <f aca="false">IF($A188="","",IFERROR(INDEX('Loans (reference)'!$B$2:$B$500,MATCH($A188,'Loans (reference)'!$A$2:$A$500,0)),"not found"))</f>
        <v/>
      </c>
      <c r="C188" s="14" t="str">
        <f aca="false">IF($A188="","",IFERROR(INDEX('Loans (reference)'!$E$2:$E$500,MATCH($A188,'Loans (reference)'!$A$2:$A$500,0)),""))</f>
        <v/>
      </c>
      <c r="D188" s="13" t="str">
        <f aca="false">IF($A188="","",IFERROR(INDEX('Loans (reference)'!$K$2:$K$500,MATCH($A188,'Loans (reference)'!$A$2:$A$500,0)),""))</f>
        <v/>
      </c>
      <c r="E188" s="15"/>
      <c r="F188" s="16"/>
      <c r="G188" s="17"/>
      <c r="H188" s="17"/>
      <c r="I188" s="17"/>
      <c r="J188" s="17"/>
      <c r="K188" s="18" t="str">
        <f aca="false">IF(COUNT($G188:$I188)=0,"",SUM($G188:$I188))</f>
        <v/>
      </c>
      <c r="L188" s="15"/>
      <c r="M188" s="15"/>
      <c r="N188" s="15"/>
      <c r="O188" s="13" t="str">
        <f aca="false">IF(COUNTA($A188,$E188:$J188,$L188:$N188)=0,"",IF($A188="","Add Loan UID",IF(ISNA(MATCH($A188,'Loans (reference)'!$A$2:$A$500,0)),"UID not in Loans tab",IF($E188="","Add payment no.",IF(COUNTIFS($A$2:$A$300,$A188,$E$2:$E$300,$E188)&gt;1,"Duplicate payment no.",IF($F188="","Add payment date",IF(COUNT($G188:$I188)=0,"Add an amount","Ready")))))))</f>
        <v/>
      </c>
      <c r="P188" s="19"/>
      <c r="Q188" s="20"/>
    </row>
    <row r="189" customFormat="false" ht="15" hidden="false" customHeight="false" outlineLevel="0" collapsed="false">
      <c r="A189" s="12"/>
      <c r="B189" s="13" t="str">
        <f aca="false">IF($A189="","",IFERROR(INDEX('Loans (reference)'!$B$2:$B$500,MATCH($A189,'Loans (reference)'!$A$2:$A$500,0)),"not found"))</f>
        <v/>
      </c>
      <c r="C189" s="14" t="str">
        <f aca="false">IF($A189="","",IFERROR(INDEX('Loans (reference)'!$E$2:$E$500,MATCH($A189,'Loans (reference)'!$A$2:$A$500,0)),""))</f>
        <v/>
      </c>
      <c r="D189" s="13" t="str">
        <f aca="false">IF($A189="","",IFERROR(INDEX('Loans (reference)'!$K$2:$K$500,MATCH($A189,'Loans (reference)'!$A$2:$A$500,0)),""))</f>
        <v/>
      </c>
      <c r="E189" s="15"/>
      <c r="F189" s="16"/>
      <c r="G189" s="17"/>
      <c r="H189" s="17"/>
      <c r="I189" s="17"/>
      <c r="J189" s="17"/>
      <c r="K189" s="18" t="str">
        <f aca="false">IF(COUNT($G189:$I189)=0,"",SUM($G189:$I189))</f>
        <v/>
      </c>
      <c r="L189" s="15"/>
      <c r="M189" s="15"/>
      <c r="N189" s="15"/>
      <c r="O189" s="13" t="str">
        <f aca="false">IF(COUNTA($A189,$E189:$J189,$L189:$N189)=0,"",IF($A189="","Add Loan UID",IF(ISNA(MATCH($A189,'Loans (reference)'!$A$2:$A$500,0)),"UID not in Loans tab",IF($E189="","Add payment no.",IF(COUNTIFS($A$2:$A$300,$A189,$E$2:$E$300,$E189)&gt;1,"Duplicate payment no.",IF($F189="","Add payment date",IF(COUNT($G189:$I189)=0,"Add an amount","Ready")))))))</f>
        <v/>
      </c>
      <c r="P189" s="19"/>
      <c r="Q189" s="20"/>
    </row>
    <row r="190" customFormat="false" ht="15" hidden="false" customHeight="false" outlineLevel="0" collapsed="false">
      <c r="A190" s="12"/>
      <c r="B190" s="13" t="str">
        <f aca="false">IF($A190="","",IFERROR(INDEX('Loans (reference)'!$B$2:$B$500,MATCH($A190,'Loans (reference)'!$A$2:$A$500,0)),"not found"))</f>
        <v/>
      </c>
      <c r="C190" s="14" t="str">
        <f aca="false">IF($A190="","",IFERROR(INDEX('Loans (reference)'!$E$2:$E$500,MATCH($A190,'Loans (reference)'!$A$2:$A$500,0)),""))</f>
        <v/>
      </c>
      <c r="D190" s="13" t="str">
        <f aca="false">IF($A190="","",IFERROR(INDEX('Loans (reference)'!$K$2:$K$500,MATCH($A190,'Loans (reference)'!$A$2:$A$500,0)),""))</f>
        <v/>
      </c>
      <c r="E190" s="15"/>
      <c r="F190" s="16"/>
      <c r="G190" s="17"/>
      <c r="H190" s="17"/>
      <c r="I190" s="17"/>
      <c r="J190" s="17"/>
      <c r="K190" s="18" t="str">
        <f aca="false">IF(COUNT($G190:$I190)=0,"",SUM($G190:$I190))</f>
        <v/>
      </c>
      <c r="L190" s="15"/>
      <c r="M190" s="15"/>
      <c r="N190" s="15"/>
      <c r="O190" s="13" t="str">
        <f aca="false">IF(COUNTA($A190,$E190:$J190,$L190:$N190)=0,"",IF($A190="","Add Loan UID",IF(ISNA(MATCH($A190,'Loans (reference)'!$A$2:$A$500,0)),"UID not in Loans tab",IF($E190="","Add payment no.",IF(COUNTIFS($A$2:$A$300,$A190,$E$2:$E$300,$E190)&gt;1,"Duplicate payment no.",IF($F190="","Add payment date",IF(COUNT($G190:$I190)=0,"Add an amount","Ready")))))))</f>
        <v/>
      </c>
      <c r="P190" s="19"/>
      <c r="Q190" s="20"/>
    </row>
    <row r="191" customFormat="false" ht="15" hidden="false" customHeight="false" outlineLevel="0" collapsed="false">
      <c r="A191" s="12"/>
      <c r="B191" s="13" t="str">
        <f aca="false">IF($A191="","",IFERROR(INDEX('Loans (reference)'!$B$2:$B$500,MATCH($A191,'Loans (reference)'!$A$2:$A$500,0)),"not found"))</f>
        <v/>
      </c>
      <c r="C191" s="14" t="str">
        <f aca="false">IF($A191="","",IFERROR(INDEX('Loans (reference)'!$E$2:$E$500,MATCH($A191,'Loans (reference)'!$A$2:$A$500,0)),""))</f>
        <v/>
      </c>
      <c r="D191" s="13" t="str">
        <f aca="false">IF($A191="","",IFERROR(INDEX('Loans (reference)'!$K$2:$K$500,MATCH($A191,'Loans (reference)'!$A$2:$A$500,0)),""))</f>
        <v/>
      </c>
      <c r="E191" s="15"/>
      <c r="F191" s="16"/>
      <c r="G191" s="17"/>
      <c r="H191" s="17"/>
      <c r="I191" s="17"/>
      <c r="J191" s="17"/>
      <c r="K191" s="18" t="str">
        <f aca="false">IF(COUNT($G191:$I191)=0,"",SUM($G191:$I191))</f>
        <v/>
      </c>
      <c r="L191" s="15"/>
      <c r="M191" s="15"/>
      <c r="N191" s="15"/>
      <c r="O191" s="13" t="str">
        <f aca="false">IF(COUNTA($A191,$E191:$J191,$L191:$N191)=0,"",IF($A191="","Add Loan UID",IF(ISNA(MATCH($A191,'Loans (reference)'!$A$2:$A$500,0)),"UID not in Loans tab",IF($E191="","Add payment no.",IF(COUNTIFS($A$2:$A$300,$A191,$E$2:$E$300,$E191)&gt;1,"Duplicate payment no.",IF($F191="","Add payment date",IF(COUNT($G191:$I191)=0,"Add an amount","Ready")))))))</f>
        <v/>
      </c>
      <c r="P191" s="19"/>
      <c r="Q191" s="20"/>
    </row>
    <row r="192" customFormat="false" ht="15" hidden="false" customHeight="false" outlineLevel="0" collapsed="false">
      <c r="A192" s="12"/>
      <c r="B192" s="13" t="str">
        <f aca="false">IF($A192="","",IFERROR(INDEX('Loans (reference)'!$B$2:$B$500,MATCH($A192,'Loans (reference)'!$A$2:$A$500,0)),"not found"))</f>
        <v/>
      </c>
      <c r="C192" s="14" t="str">
        <f aca="false">IF($A192="","",IFERROR(INDEX('Loans (reference)'!$E$2:$E$500,MATCH($A192,'Loans (reference)'!$A$2:$A$500,0)),""))</f>
        <v/>
      </c>
      <c r="D192" s="13" t="str">
        <f aca="false">IF($A192="","",IFERROR(INDEX('Loans (reference)'!$K$2:$K$500,MATCH($A192,'Loans (reference)'!$A$2:$A$500,0)),""))</f>
        <v/>
      </c>
      <c r="E192" s="15"/>
      <c r="F192" s="16"/>
      <c r="G192" s="17"/>
      <c r="H192" s="17"/>
      <c r="I192" s="17"/>
      <c r="J192" s="17"/>
      <c r="K192" s="18" t="str">
        <f aca="false">IF(COUNT($G192:$I192)=0,"",SUM($G192:$I192))</f>
        <v/>
      </c>
      <c r="L192" s="15"/>
      <c r="M192" s="15"/>
      <c r="N192" s="15"/>
      <c r="O192" s="13" t="str">
        <f aca="false">IF(COUNTA($A192,$E192:$J192,$L192:$N192)=0,"",IF($A192="","Add Loan UID",IF(ISNA(MATCH($A192,'Loans (reference)'!$A$2:$A$500,0)),"UID not in Loans tab",IF($E192="","Add payment no.",IF(COUNTIFS($A$2:$A$300,$A192,$E$2:$E$300,$E192)&gt;1,"Duplicate payment no.",IF($F192="","Add payment date",IF(COUNT($G192:$I192)=0,"Add an amount","Ready")))))))</f>
        <v/>
      </c>
      <c r="P192" s="19"/>
      <c r="Q192" s="20"/>
    </row>
    <row r="193" customFormat="false" ht="15" hidden="false" customHeight="false" outlineLevel="0" collapsed="false">
      <c r="A193" s="12"/>
      <c r="B193" s="13" t="str">
        <f aca="false">IF($A193="","",IFERROR(INDEX('Loans (reference)'!$B$2:$B$500,MATCH($A193,'Loans (reference)'!$A$2:$A$500,0)),"not found"))</f>
        <v/>
      </c>
      <c r="C193" s="14" t="str">
        <f aca="false">IF($A193="","",IFERROR(INDEX('Loans (reference)'!$E$2:$E$500,MATCH($A193,'Loans (reference)'!$A$2:$A$500,0)),""))</f>
        <v/>
      </c>
      <c r="D193" s="13" t="str">
        <f aca="false">IF($A193="","",IFERROR(INDEX('Loans (reference)'!$K$2:$K$500,MATCH($A193,'Loans (reference)'!$A$2:$A$500,0)),""))</f>
        <v/>
      </c>
      <c r="E193" s="15"/>
      <c r="F193" s="16"/>
      <c r="G193" s="17"/>
      <c r="H193" s="17"/>
      <c r="I193" s="17"/>
      <c r="J193" s="17"/>
      <c r="K193" s="18" t="str">
        <f aca="false">IF(COUNT($G193:$I193)=0,"",SUM($G193:$I193))</f>
        <v/>
      </c>
      <c r="L193" s="15"/>
      <c r="M193" s="15"/>
      <c r="N193" s="15"/>
      <c r="O193" s="13" t="str">
        <f aca="false">IF(COUNTA($A193,$E193:$J193,$L193:$N193)=0,"",IF($A193="","Add Loan UID",IF(ISNA(MATCH($A193,'Loans (reference)'!$A$2:$A$500,0)),"UID not in Loans tab",IF($E193="","Add payment no.",IF(COUNTIFS($A$2:$A$300,$A193,$E$2:$E$300,$E193)&gt;1,"Duplicate payment no.",IF($F193="","Add payment date",IF(COUNT($G193:$I193)=0,"Add an amount","Ready")))))))</f>
        <v/>
      </c>
      <c r="P193" s="19"/>
      <c r="Q193" s="20"/>
    </row>
    <row r="194" customFormat="false" ht="15" hidden="false" customHeight="false" outlineLevel="0" collapsed="false">
      <c r="A194" s="12"/>
      <c r="B194" s="13" t="str">
        <f aca="false">IF($A194="","",IFERROR(INDEX('Loans (reference)'!$B$2:$B$500,MATCH($A194,'Loans (reference)'!$A$2:$A$500,0)),"not found"))</f>
        <v/>
      </c>
      <c r="C194" s="14" t="str">
        <f aca="false">IF($A194="","",IFERROR(INDEX('Loans (reference)'!$E$2:$E$500,MATCH($A194,'Loans (reference)'!$A$2:$A$500,0)),""))</f>
        <v/>
      </c>
      <c r="D194" s="13" t="str">
        <f aca="false">IF($A194="","",IFERROR(INDEX('Loans (reference)'!$K$2:$K$500,MATCH($A194,'Loans (reference)'!$A$2:$A$500,0)),""))</f>
        <v/>
      </c>
      <c r="E194" s="15"/>
      <c r="F194" s="16"/>
      <c r="G194" s="17"/>
      <c r="H194" s="17"/>
      <c r="I194" s="17"/>
      <c r="J194" s="17"/>
      <c r="K194" s="18" t="str">
        <f aca="false">IF(COUNT($G194:$I194)=0,"",SUM($G194:$I194))</f>
        <v/>
      </c>
      <c r="L194" s="15"/>
      <c r="M194" s="15"/>
      <c r="N194" s="15"/>
      <c r="O194" s="13" t="str">
        <f aca="false">IF(COUNTA($A194,$E194:$J194,$L194:$N194)=0,"",IF($A194="","Add Loan UID",IF(ISNA(MATCH($A194,'Loans (reference)'!$A$2:$A$500,0)),"UID not in Loans tab",IF($E194="","Add payment no.",IF(COUNTIFS($A$2:$A$300,$A194,$E$2:$E$300,$E194)&gt;1,"Duplicate payment no.",IF($F194="","Add payment date",IF(COUNT($G194:$I194)=0,"Add an amount","Ready")))))))</f>
        <v/>
      </c>
      <c r="P194" s="19"/>
      <c r="Q194" s="20"/>
    </row>
    <row r="195" customFormat="false" ht="15" hidden="false" customHeight="false" outlineLevel="0" collapsed="false">
      <c r="A195" s="12"/>
      <c r="B195" s="13" t="str">
        <f aca="false">IF($A195="","",IFERROR(INDEX('Loans (reference)'!$B$2:$B$500,MATCH($A195,'Loans (reference)'!$A$2:$A$500,0)),"not found"))</f>
        <v/>
      </c>
      <c r="C195" s="14" t="str">
        <f aca="false">IF($A195="","",IFERROR(INDEX('Loans (reference)'!$E$2:$E$500,MATCH($A195,'Loans (reference)'!$A$2:$A$500,0)),""))</f>
        <v/>
      </c>
      <c r="D195" s="13" t="str">
        <f aca="false">IF($A195="","",IFERROR(INDEX('Loans (reference)'!$K$2:$K$500,MATCH($A195,'Loans (reference)'!$A$2:$A$500,0)),""))</f>
        <v/>
      </c>
      <c r="E195" s="15"/>
      <c r="F195" s="16"/>
      <c r="G195" s="17"/>
      <c r="H195" s="17"/>
      <c r="I195" s="17"/>
      <c r="J195" s="17"/>
      <c r="K195" s="18" t="str">
        <f aca="false">IF(COUNT($G195:$I195)=0,"",SUM($G195:$I195))</f>
        <v/>
      </c>
      <c r="L195" s="15"/>
      <c r="M195" s="15"/>
      <c r="N195" s="15"/>
      <c r="O195" s="13" t="str">
        <f aca="false">IF(COUNTA($A195,$E195:$J195,$L195:$N195)=0,"",IF($A195="","Add Loan UID",IF(ISNA(MATCH($A195,'Loans (reference)'!$A$2:$A$500,0)),"UID not in Loans tab",IF($E195="","Add payment no.",IF(COUNTIFS($A$2:$A$300,$A195,$E$2:$E$300,$E195)&gt;1,"Duplicate payment no.",IF($F195="","Add payment date",IF(COUNT($G195:$I195)=0,"Add an amount","Ready")))))))</f>
        <v/>
      </c>
      <c r="P195" s="19"/>
      <c r="Q195" s="20"/>
    </row>
    <row r="196" customFormat="false" ht="15" hidden="false" customHeight="false" outlineLevel="0" collapsed="false">
      <c r="A196" s="12"/>
      <c r="B196" s="13" t="str">
        <f aca="false">IF($A196="","",IFERROR(INDEX('Loans (reference)'!$B$2:$B$500,MATCH($A196,'Loans (reference)'!$A$2:$A$500,0)),"not found"))</f>
        <v/>
      </c>
      <c r="C196" s="14" t="str">
        <f aca="false">IF($A196="","",IFERROR(INDEX('Loans (reference)'!$E$2:$E$500,MATCH($A196,'Loans (reference)'!$A$2:$A$500,0)),""))</f>
        <v/>
      </c>
      <c r="D196" s="13" t="str">
        <f aca="false">IF($A196="","",IFERROR(INDEX('Loans (reference)'!$K$2:$K$500,MATCH($A196,'Loans (reference)'!$A$2:$A$500,0)),""))</f>
        <v/>
      </c>
      <c r="E196" s="15"/>
      <c r="F196" s="16"/>
      <c r="G196" s="17"/>
      <c r="H196" s="17"/>
      <c r="I196" s="17"/>
      <c r="J196" s="17"/>
      <c r="K196" s="18" t="str">
        <f aca="false">IF(COUNT($G196:$I196)=0,"",SUM($G196:$I196))</f>
        <v/>
      </c>
      <c r="L196" s="15"/>
      <c r="M196" s="15"/>
      <c r="N196" s="15"/>
      <c r="O196" s="13" t="str">
        <f aca="false">IF(COUNTA($A196,$E196:$J196,$L196:$N196)=0,"",IF($A196="","Add Loan UID",IF(ISNA(MATCH($A196,'Loans (reference)'!$A$2:$A$500,0)),"UID not in Loans tab",IF($E196="","Add payment no.",IF(COUNTIFS($A$2:$A$300,$A196,$E$2:$E$300,$E196)&gt;1,"Duplicate payment no.",IF($F196="","Add payment date",IF(COUNT($G196:$I196)=0,"Add an amount","Ready")))))))</f>
        <v/>
      </c>
      <c r="P196" s="19"/>
      <c r="Q196" s="20"/>
    </row>
    <row r="197" customFormat="false" ht="15" hidden="false" customHeight="false" outlineLevel="0" collapsed="false">
      <c r="A197" s="12"/>
      <c r="B197" s="13" t="str">
        <f aca="false">IF($A197="","",IFERROR(INDEX('Loans (reference)'!$B$2:$B$500,MATCH($A197,'Loans (reference)'!$A$2:$A$500,0)),"not found"))</f>
        <v/>
      </c>
      <c r="C197" s="14" t="str">
        <f aca="false">IF($A197="","",IFERROR(INDEX('Loans (reference)'!$E$2:$E$500,MATCH($A197,'Loans (reference)'!$A$2:$A$500,0)),""))</f>
        <v/>
      </c>
      <c r="D197" s="13" t="str">
        <f aca="false">IF($A197="","",IFERROR(INDEX('Loans (reference)'!$K$2:$K$500,MATCH($A197,'Loans (reference)'!$A$2:$A$500,0)),""))</f>
        <v/>
      </c>
      <c r="E197" s="15"/>
      <c r="F197" s="16"/>
      <c r="G197" s="17"/>
      <c r="H197" s="17"/>
      <c r="I197" s="17"/>
      <c r="J197" s="17"/>
      <c r="K197" s="18" t="str">
        <f aca="false">IF(COUNT($G197:$I197)=0,"",SUM($G197:$I197))</f>
        <v/>
      </c>
      <c r="L197" s="15"/>
      <c r="M197" s="15"/>
      <c r="N197" s="15"/>
      <c r="O197" s="13" t="str">
        <f aca="false">IF(COUNTA($A197,$E197:$J197,$L197:$N197)=0,"",IF($A197="","Add Loan UID",IF(ISNA(MATCH($A197,'Loans (reference)'!$A$2:$A$500,0)),"UID not in Loans tab",IF($E197="","Add payment no.",IF(COUNTIFS($A$2:$A$300,$A197,$E$2:$E$300,$E197)&gt;1,"Duplicate payment no.",IF($F197="","Add payment date",IF(COUNT($G197:$I197)=0,"Add an amount","Ready")))))))</f>
        <v/>
      </c>
      <c r="P197" s="19"/>
      <c r="Q197" s="20"/>
    </row>
    <row r="198" customFormat="false" ht="15" hidden="false" customHeight="false" outlineLevel="0" collapsed="false">
      <c r="A198" s="12"/>
      <c r="B198" s="13" t="str">
        <f aca="false">IF($A198="","",IFERROR(INDEX('Loans (reference)'!$B$2:$B$500,MATCH($A198,'Loans (reference)'!$A$2:$A$500,0)),"not found"))</f>
        <v/>
      </c>
      <c r="C198" s="14" t="str">
        <f aca="false">IF($A198="","",IFERROR(INDEX('Loans (reference)'!$E$2:$E$500,MATCH($A198,'Loans (reference)'!$A$2:$A$500,0)),""))</f>
        <v/>
      </c>
      <c r="D198" s="13" t="str">
        <f aca="false">IF($A198="","",IFERROR(INDEX('Loans (reference)'!$K$2:$K$500,MATCH($A198,'Loans (reference)'!$A$2:$A$500,0)),""))</f>
        <v/>
      </c>
      <c r="E198" s="15"/>
      <c r="F198" s="16"/>
      <c r="G198" s="17"/>
      <c r="H198" s="17"/>
      <c r="I198" s="17"/>
      <c r="J198" s="17"/>
      <c r="K198" s="18" t="str">
        <f aca="false">IF(COUNT($G198:$I198)=0,"",SUM($G198:$I198))</f>
        <v/>
      </c>
      <c r="L198" s="15"/>
      <c r="M198" s="15"/>
      <c r="N198" s="15"/>
      <c r="O198" s="13" t="str">
        <f aca="false">IF(COUNTA($A198,$E198:$J198,$L198:$N198)=0,"",IF($A198="","Add Loan UID",IF(ISNA(MATCH($A198,'Loans (reference)'!$A$2:$A$500,0)),"UID not in Loans tab",IF($E198="","Add payment no.",IF(COUNTIFS($A$2:$A$300,$A198,$E$2:$E$300,$E198)&gt;1,"Duplicate payment no.",IF($F198="","Add payment date",IF(COUNT($G198:$I198)=0,"Add an amount","Ready")))))))</f>
        <v/>
      </c>
      <c r="P198" s="19"/>
      <c r="Q198" s="20"/>
    </row>
    <row r="199" customFormat="false" ht="15" hidden="false" customHeight="false" outlineLevel="0" collapsed="false">
      <c r="A199" s="12"/>
      <c r="B199" s="13" t="str">
        <f aca="false">IF($A199="","",IFERROR(INDEX('Loans (reference)'!$B$2:$B$500,MATCH($A199,'Loans (reference)'!$A$2:$A$500,0)),"not found"))</f>
        <v/>
      </c>
      <c r="C199" s="14" t="str">
        <f aca="false">IF($A199="","",IFERROR(INDEX('Loans (reference)'!$E$2:$E$500,MATCH($A199,'Loans (reference)'!$A$2:$A$500,0)),""))</f>
        <v/>
      </c>
      <c r="D199" s="13" t="str">
        <f aca="false">IF($A199="","",IFERROR(INDEX('Loans (reference)'!$K$2:$K$500,MATCH($A199,'Loans (reference)'!$A$2:$A$500,0)),""))</f>
        <v/>
      </c>
      <c r="E199" s="15"/>
      <c r="F199" s="16"/>
      <c r="G199" s="17"/>
      <c r="H199" s="17"/>
      <c r="I199" s="17"/>
      <c r="J199" s="17"/>
      <c r="K199" s="18" t="str">
        <f aca="false">IF(COUNT($G199:$I199)=0,"",SUM($G199:$I199))</f>
        <v/>
      </c>
      <c r="L199" s="15"/>
      <c r="M199" s="15"/>
      <c r="N199" s="15"/>
      <c r="O199" s="13" t="str">
        <f aca="false">IF(COUNTA($A199,$E199:$J199,$L199:$N199)=0,"",IF($A199="","Add Loan UID",IF(ISNA(MATCH($A199,'Loans (reference)'!$A$2:$A$500,0)),"UID not in Loans tab",IF($E199="","Add payment no.",IF(COUNTIFS($A$2:$A$300,$A199,$E$2:$E$300,$E199)&gt;1,"Duplicate payment no.",IF($F199="","Add payment date",IF(COUNT($G199:$I199)=0,"Add an amount","Ready")))))))</f>
        <v/>
      </c>
      <c r="P199" s="19"/>
      <c r="Q199" s="20"/>
    </row>
    <row r="200" customFormat="false" ht="15" hidden="false" customHeight="false" outlineLevel="0" collapsed="false">
      <c r="A200" s="12"/>
      <c r="B200" s="13" t="str">
        <f aca="false">IF($A200="","",IFERROR(INDEX('Loans (reference)'!$B$2:$B$500,MATCH($A200,'Loans (reference)'!$A$2:$A$500,0)),"not found"))</f>
        <v/>
      </c>
      <c r="C200" s="14" t="str">
        <f aca="false">IF($A200="","",IFERROR(INDEX('Loans (reference)'!$E$2:$E$500,MATCH($A200,'Loans (reference)'!$A$2:$A$500,0)),""))</f>
        <v/>
      </c>
      <c r="D200" s="13" t="str">
        <f aca="false">IF($A200="","",IFERROR(INDEX('Loans (reference)'!$K$2:$K$500,MATCH($A200,'Loans (reference)'!$A$2:$A$500,0)),""))</f>
        <v/>
      </c>
      <c r="E200" s="15"/>
      <c r="F200" s="16"/>
      <c r="G200" s="17"/>
      <c r="H200" s="17"/>
      <c r="I200" s="17"/>
      <c r="J200" s="17"/>
      <c r="K200" s="18" t="str">
        <f aca="false">IF(COUNT($G200:$I200)=0,"",SUM($G200:$I200))</f>
        <v/>
      </c>
      <c r="L200" s="15"/>
      <c r="M200" s="15"/>
      <c r="N200" s="15"/>
      <c r="O200" s="13" t="str">
        <f aca="false">IF(COUNTA($A200,$E200:$J200,$L200:$N200)=0,"",IF($A200="","Add Loan UID",IF(ISNA(MATCH($A200,'Loans (reference)'!$A$2:$A$500,0)),"UID not in Loans tab",IF($E200="","Add payment no.",IF(COUNTIFS($A$2:$A$300,$A200,$E$2:$E$300,$E200)&gt;1,"Duplicate payment no.",IF($F200="","Add payment date",IF(COUNT($G200:$I200)=0,"Add an amount","Ready")))))))</f>
        <v/>
      </c>
      <c r="P200" s="19"/>
      <c r="Q200" s="20"/>
    </row>
    <row r="201" customFormat="false" ht="15" hidden="false" customHeight="false" outlineLevel="0" collapsed="false">
      <c r="A201" s="12"/>
      <c r="B201" s="13" t="str">
        <f aca="false">IF($A201="","",IFERROR(INDEX('Loans (reference)'!$B$2:$B$500,MATCH($A201,'Loans (reference)'!$A$2:$A$500,0)),"not found"))</f>
        <v/>
      </c>
      <c r="C201" s="14" t="str">
        <f aca="false">IF($A201="","",IFERROR(INDEX('Loans (reference)'!$E$2:$E$500,MATCH($A201,'Loans (reference)'!$A$2:$A$500,0)),""))</f>
        <v/>
      </c>
      <c r="D201" s="13" t="str">
        <f aca="false">IF($A201="","",IFERROR(INDEX('Loans (reference)'!$K$2:$K$500,MATCH($A201,'Loans (reference)'!$A$2:$A$500,0)),""))</f>
        <v/>
      </c>
      <c r="E201" s="15"/>
      <c r="F201" s="16"/>
      <c r="G201" s="17"/>
      <c r="H201" s="17"/>
      <c r="I201" s="17"/>
      <c r="J201" s="17"/>
      <c r="K201" s="18" t="str">
        <f aca="false">IF(COUNT($G201:$I201)=0,"",SUM($G201:$I201))</f>
        <v/>
      </c>
      <c r="L201" s="15"/>
      <c r="M201" s="15"/>
      <c r="N201" s="15"/>
      <c r="O201" s="13" t="str">
        <f aca="false">IF(COUNTA($A201,$E201:$J201,$L201:$N201)=0,"",IF($A201="","Add Loan UID",IF(ISNA(MATCH($A201,'Loans (reference)'!$A$2:$A$500,0)),"UID not in Loans tab",IF($E201="","Add payment no.",IF(COUNTIFS($A$2:$A$300,$A201,$E$2:$E$300,$E201)&gt;1,"Duplicate payment no.",IF($F201="","Add payment date",IF(COUNT($G201:$I201)=0,"Add an amount","Ready")))))))</f>
        <v/>
      </c>
      <c r="P201" s="19"/>
      <c r="Q201" s="20"/>
    </row>
    <row r="202" customFormat="false" ht="15" hidden="false" customHeight="false" outlineLevel="0" collapsed="false">
      <c r="A202" s="12"/>
      <c r="B202" s="13" t="str">
        <f aca="false">IF($A202="","",IFERROR(INDEX('Loans (reference)'!$B$2:$B$500,MATCH($A202,'Loans (reference)'!$A$2:$A$500,0)),"not found"))</f>
        <v/>
      </c>
      <c r="C202" s="14" t="str">
        <f aca="false">IF($A202="","",IFERROR(INDEX('Loans (reference)'!$E$2:$E$500,MATCH($A202,'Loans (reference)'!$A$2:$A$500,0)),""))</f>
        <v/>
      </c>
      <c r="D202" s="13" t="str">
        <f aca="false">IF($A202="","",IFERROR(INDEX('Loans (reference)'!$K$2:$K$500,MATCH($A202,'Loans (reference)'!$A$2:$A$500,0)),""))</f>
        <v/>
      </c>
      <c r="E202" s="15"/>
      <c r="F202" s="16"/>
      <c r="G202" s="17"/>
      <c r="H202" s="17"/>
      <c r="I202" s="17"/>
      <c r="J202" s="17"/>
      <c r="K202" s="18" t="str">
        <f aca="false">IF(COUNT($G202:$I202)=0,"",SUM($G202:$I202))</f>
        <v/>
      </c>
      <c r="L202" s="15"/>
      <c r="M202" s="15"/>
      <c r="N202" s="15"/>
      <c r="O202" s="13" t="str">
        <f aca="false">IF(COUNTA($A202,$E202:$J202,$L202:$N202)=0,"",IF($A202="","Add Loan UID",IF(ISNA(MATCH($A202,'Loans (reference)'!$A$2:$A$500,0)),"UID not in Loans tab",IF($E202="","Add payment no.",IF(COUNTIFS($A$2:$A$300,$A202,$E$2:$E$300,$E202)&gt;1,"Duplicate payment no.",IF($F202="","Add payment date",IF(COUNT($G202:$I202)=0,"Add an amount","Ready")))))))</f>
        <v/>
      </c>
      <c r="P202" s="19"/>
      <c r="Q202" s="20"/>
    </row>
    <row r="203" customFormat="false" ht="15" hidden="false" customHeight="false" outlineLevel="0" collapsed="false">
      <c r="A203" s="12"/>
      <c r="B203" s="13" t="str">
        <f aca="false">IF($A203="","",IFERROR(INDEX('Loans (reference)'!$B$2:$B$500,MATCH($A203,'Loans (reference)'!$A$2:$A$500,0)),"not found"))</f>
        <v/>
      </c>
      <c r="C203" s="14" t="str">
        <f aca="false">IF($A203="","",IFERROR(INDEX('Loans (reference)'!$E$2:$E$500,MATCH($A203,'Loans (reference)'!$A$2:$A$500,0)),""))</f>
        <v/>
      </c>
      <c r="D203" s="13" t="str">
        <f aca="false">IF($A203="","",IFERROR(INDEX('Loans (reference)'!$K$2:$K$500,MATCH($A203,'Loans (reference)'!$A$2:$A$500,0)),""))</f>
        <v/>
      </c>
      <c r="E203" s="15"/>
      <c r="F203" s="16"/>
      <c r="G203" s="17"/>
      <c r="H203" s="17"/>
      <c r="I203" s="17"/>
      <c r="J203" s="17"/>
      <c r="K203" s="18" t="str">
        <f aca="false">IF(COUNT($G203:$I203)=0,"",SUM($G203:$I203))</f>
        <v/>
      </c>
      <c r="L203" s="15"/>
      <c r="M203" s="15"/>
      <c r="N203" s="15"/>
      <c r="O203" s="13" t="str">
        <f aca="false">IF(COUNTA($A203,$E203:$J203,$L203:$N203)=0,"",IF($A203="","Add Loan UID",IF(ISNA(MATCH($A203,'Loans (reference)'!$A$2:$A$500,0)),"UID not in Loans tab",IF($E203="","Add payment no.",IF(COUNTIFS($A$2:$A$300,$A203,$E$2:$E$300,$E203)&gt;1,"Duplicate payment no.",IF($F203="","Add payment date",IF(COUNT($G203:$I203)=0,"Add an amount","Ready")))))))</f>
        <v/>
      </c>
      <c r="P203" s="19"/>
      <c r="Q203" s="20"/>
    </row>
    <row r="204" customFormat="false" ht="15" hidden="false" customHeight="false" outlineLevel="0" collapsed="false">
      <c r="A204" s="12"/>
      <c r="B204" s="13" t="str">
        <f aca="false">IF($A204="","",IFERROR(INDEX('Loans (reference)'!$B$2:$B$500,MATCH($A204,'Loans (reference)'!$A$2:$A$500,0)),"not found"))</f>
        <v/>
      </c>
      <c r="C204" s="14" t="str">
        <f aca="false">IF($A204="","",IFERROR(INDEX('Loans (reference)'!$E$2:$E$500,MATCH($A204,'Loans (reference)'!$A$2:$A$500,0)),""))</f>
        <v/>
      </c>
      <c r="D204" s="13" t="str">
        <f aca="false">IF($A204="","",IFERROR(INDEX('Loans (reference)'!$K$2:$K$500,MATCH($A204,'Loans (reference)'!$A$2:$A$500,0)),""))</f>
        <v/>
      </c>
      <c r="E204" s="15"/>
      <c r="F204" s="16"/>
      <c r="G204" s="17"/>
      <c r="H204" s="17"/>
      <c r="I204" s="17"/>
      <c r="J204" s="17"/>
      <c r="K204" s="18" t="str">
        <f aca="false">IF(COUNT($G204:$I204)=0,"",SUM($G204:$I204))</f>
        <v/>
      </c>
      <c r="L204" s="15"/>
      <c r="M204" s="15"/>
      <c r="N204" s="15"/>
      <c r="O204" s="13" t="str">
        <f aca="false">IF(COUNTA($A204,$E204:$J204,$L204:$N204)=0,"",IF($A204="","Add Loan UID",IF(ISNA(MATCH($A204,'Loans (reference)'!$A$2:$A$500,0)),"UID not in Loans tab",IF($E204="","Add payment no.",IF(COUNTIFS($A$2:$A$300,$A204,$E$2:$E$300,$E204)&gt;1,"Duplicate payment no.",IF($F204="","Add payment date",IF(COUNT($G204:$I204)=0,"Add an amount","Ready")))))))</f>
        <v/>
      </c>
      <c r="P204" s="19"/>
      <c r="Q204" s="20"/>
    </row>
    <row r="205" customFormat="false" ht="15" hidden="false" customHeight="false" outlineLevel="0" collapsed="false">
      <c r="A205" s="12"/>
      <c r="B205" s="13" t="str">
        <f aca="false">IF($A205="","",IFERROR(INDEX('Loans (reference)'!$B$2:$B$500,MATCH($A205,'Loans (reference)'!$A$2:$A$500,0)),"not found"))</f>
        <v/>
      </c>
      <c r="C205" s="14" t="str">
        <f aca="false">IF($A205="","",IFERROR(INDEX('Loans (reference)'!$E$2:$E$500,MATCH($A205,'Loans (reference)'!$A$2:$A$500,0)),""))</f>
        <v/>
      </c>
      <c r="D205" s="13" t="str">
        <f aca="false">IF($A205="","",IFERROR(INDEX('Loans (reference)'!$K$2:$K$500,MATCH($A205,'Loans (reference)'!$A$2:$A$500,0)),""))</f>
        <v/>
      </c>
      <c r="E205" s="15"/>
      <c r="F205" s="16"/>
      <c r="G205" s="17"/>
      <c r="H205" s="17"/>
      <c r="I205" s="17"/>
      <c r="J205" s="17"/>
      <c r="K205" s="18" t="str">
        <f aca="false">IF(COUNT($G205:$I205)=0,"",SUM($G205:$I205))</f>
        <v/>
      </c>
      <c r="L205" s="15"/>
      <c r="M205" s="15"/>
      <c r="N205" s="15"/>
      <c r="O205" s="13" t="str">
        <f aca="false">IF(COUNTA($A205,$E205:$J205,$L205:$N205)=0,"",IF($A205="","Add Loan UID",IF(ISNA(MATCH($A205,'Loans (reference)'!$A$2:$A$500,0)),"UID not in Loans tab",IF($E205="","Add payment no.",IF(COUNTIFS($A$2:$A$300,$A205,$E$2:$E$300,$E205)&gt;1,"Duplicate payment no.",IF($F205="","Add payment date",IF(COUNT($G205:$I205)=0,"Add an amount","Ready")))))))</f>
        <v/>
      </c>
      <c r="P205" s="19"/>
      <c r="Q205" s="20"/>
    </row>
    <row r="206" customFormat="false" ht="15" hidden="false" customHeight="false" outlineLevel="0" collapsed="false">
      <c r="A206" s="12"/>
      <c r="B206" s="13" t="str">
        <f aca="false">IF($A206="","",IFERROR(INDEX('Loans (reference)'!$B$2:$B$500,MATCH($A206,'Loans (reference)'!$A$2:$A$500,0)),"not found"))</f>
        <v/>
      </c>
      <c r="C206" s="14" t="str">
        <f aca="false">IF($A206="","",IFERROR(INDEX('Loans (reference)'!$E$2:$E$500,MATCH($A206,'Loans (reference)'!$A$2:$A$500,0)),""))</f>
        <v/>
      </c>
      <c r="D206" s="13" t="str">
        <f aca="false">IF($A206="","",IFERROR(INDEX('Loans (reference)'!$K$2:$K$500,MATCH($A206,'Loans (reference)'!$A$2:$A$500,0)),""))</f>
        <v/>
      </c>
      <c r="E206" s="15"/>
      <c r="F206" s="16"/>
      <c r="G206" s="17"/>
      <c r="H206" s="17"/>
      <c r="I206" s="17"/>
      <c r="J206" s="17"/>
      <c r="K206" s="18" t="str">
        <f aca="false">IF(COUNT($G206:$I206)=0,"",SUM($G206:$I206))</f>
        <v/>
      </c>
      <c r="L206" s="15"/>
      <c r="M206" s="15"/>
      <c r="N206" s="15"/>
      <c r="O206" s="13" t="str">
        <f aca="false">IF(COUNTA($A206,$E206:$J206,$L206:$N206)=0,"",IF($A206="","Add Loan UID",IF(ISNA(MATCH($A206,'Loans (reference)'!$A$2:$A$500,0)),"UID not in Loans tab",IF($E206="","Add payment no.",IF(COUNTIFS($A$2:$A$300,$A206,$E$2:$E$300,$E206)&gt;1,"Duplicate payment no.",IF($F206="","Add payment date",IF(COUNT($G206:$I206)=0,"Add an amount","Ready")))))))</f>
        <v/>
      </c>
      <c r="P206" s="19"/>
      <c r="Q206" s="20"/>
    </row>
    <row r="207" customFormat="false" ht="15" hidden="false" customHeight="false" outlineLevel="0" collapsed="false">
      <c r="A207" s="12"/>
      <c r="B207" s="13" t="str">
        <f aca="false">IF($A207="","",IFERROR(INDEX('Loans (reference)'!$B$2:$B$500,MATCH($A207,'Loans (reference)'!$A$2:$A$500,0)),"not found"))</f>
        <v/>
      </c>
      <c r="C207" s="14" t="str">
        <f aca="false">IF($A207="","",IFERROR(INDEX('Loans (reference)'!$E$2:$E$500,MATCH($A207,'Loans (reference)'!$A$2:$A$500,0)),""))</f>
        <v/>
      </c>
      <c r="D207" s="13" t="str">
        <f aca="false">IF($A207="","",IFERROR(INDEX('Loans (reference)'!$K$2:$K$500,MATCH($A207,'Loans (reference)'!$A$2:$A$500,0)),""))</f>
        <v/>
      </c>
      <c r="E207" s="15"/>
      <c r="F207" s="16"/>
      <c r="G207" s="17"/>
      <c r="H207" s="17"/>
      <c r="I207" s="17"/>
      <c r="J207" s="17"/>
      <c r="K207" s="18" t="str">
        <f aca="false">IF(COUNT($G207:$I207)=0,"",SUM($G207:$I207))</f>
        <v/>
      </c>
      <c r="L207" s="15"/>
      <c r="M207" s="15"/>
      <c r="N207" s="15"/>
      <c r="O207" s="13" t="str">
        <f aca="false">IF(COUNTA($A207,$E207:$J207,$L207:$N207)=0,"",IF($A207="","Add Loan UID",IF(ISNA(MATCH($A207,'Loans (reference)'!$A$2:$A$500,0)),"UID not in Loans tab",IF($E207="","Add payment no.",IF(COUNTIFS($A$2:$A$300,$A207,$E$2:$E$300,$E207)&gt;1,"Duplicate payment no.",IF($F207="","Add payment date",IF(COUNT($G207:$I207)=0,"Add an amount","Ready")))))))</f>
        <v/>
      </c>
      <c r="P207" s="19"/>
      <c r="Q207" s="20"/>
    </row>
    <row r="208" customFormat="false" ht="15" hidden="false" customHeight="false" outlineLevel="0" collapsed="false">
      <c r="A208" s="12"/>
      <c r="B208" s="13" t="str">
        <f aca="false">IF($A208="","",IFERROR(INDEX('Loans (reference)'!$B$2:$B$500,MATCH($A208,'Loans (reference)'!$A$2:$A$500,0)),"not found"))</f>
        <v/>
      </c>
      <c r="C208" s="14" t="str">
        <f aca="false">IF($A208="","",IFERROR(INDEX('Loans (reference)'!$E$2:$E$500,MATCH($A208,'Loans (reference)'!$A$2:$A$500,0)),""))</f>
        <v/>
      </c>
      <c r="D208" s="13" t="str">
        <f aca="false">IF($A208="","",IFERROR(INDEX('Loans (reference)'!$K$2:$K$500,MATCH($A208,'Loans (reference)'!$A$2:$A$500,0)),""))</f>
        <v/>
      </c>
      <c r="E208" s="15"/>
      <c r="F208" s="16"/>
      <c r="G208" s="17"/>
      <c r="H208" s="17"/>
      <c r="I208" s="17"/>
      <c r="J208" s="17"/>
      <c r="K208" s="18" t="str">
        <f aca="false">IF(COUNT($G208:$I208)=0,"",SUM($G208:$I208))</f>
        <v/>
      </c>
      <c r="L208" s="15"/>
      <c r="M208" s="15"/>
      <c r="N208" s="15"/>
      <c r="O208" s="13" t="str">
        <f aca="false">IF(COUNTA($A208,$E208:$J208,$L208:$N208)=0,"",IF($A208="","Add Loan UID",IF(ISNA(MATCH($A208,'Loans (reference)'!$A$2:$A$500,0)),"UID not in Loans tab",IF($E208="","Add payment no.",IF(COUNTIFS($A$2:$A$300,$A208,$E$2:$E$300,$E208)&gt;1,"Duplicate payment no.",IF($F208="","Add payment date",IF(COUNT($G208:$I208)=0,"Add an amount","Ready")))))))</f>
        <v/>
      </c>
      <c r="P208" s="19"/>
      <c r="Q208" s="20"/>
    </row>
    <row r="209" customFormat="false" ht="15" hidden="false" customHeight="false" outlineLevel="0" collapsed="false">
      <c r="A209" s="12"/>
      <c r="B209" s="13" t="str">
        <f aca="false">IF($A209="","",IFERROR(INDEX('Loans (reference)'!$B$2:$B$500,MATCH($A209,'Loans (reference)'!$A$2:$A$500,0)),"not found"))</f>
        <v/>
      </c>
      <c r="C209" s="14" t="str">
        <f aca="false">IF($A209="","",IFERROR(INDEX('Loans (reference)'!$E$2:$E$500,MATCH($A209,'Loans (reference)'!$A$2:$A$500,0)),""))</f>
        <v/>
      </c>
      <c r="D209" s="13" t="str">
        <f aca="false">IF($A209="","",IFERROR(INDEX('Loans (reference)'!$K$2:$K$500,MATCH($A209,'Loans (reference)'!$A$2:$A$500,0)),""))</f>
        <v/>
      </c>
      <c r="E209" s="15"/>
      <c r="F209" s="16"/>
      <c r="G209" s="17"/>
      <c r="H209" s="17"/>
      <c r="I209" s="17"/>
      <c r="J209" s="17"/>
      <c r="K209" s="18" t="str">
        <f aca="false">IF(COUNT($G209:$I209)=0,"",SUM($G209:$I209))</f>
        <v/>
      </c>
      <c r="L209" s="15"/>
      <c r="M209" s="15"/>
      <c r="N209" s="15"/>
      <c r="O209" s="13" t="str">
        <f aca="false">IF(COUNTA($A209,$E209:$J209,$L209:$N209)=0,"",IF($A209="","Add Loan UID",IF(ISNA(MATCH($A209,'Loans (reference)'!$A$2:$A$500,0)),"UID not in Loans tab",IF($E209="","Add payment no.",IF(COUNTIFS($A$2:$A$300,$A209,$E$2:$E$300,$E209)&gt;1,"Duplicate payment no.",IF($F209="","Add payment date",IF(COUNT($G209:$I209)=0,"Add an amount","Ready")))))))</f>
        <v/>
      </c>
      <c r="P209" s="19"/>
      <c r="Q209" s="20"/>
    </row>
    <row r="210" customFormat="false" ht="15" hidden="false" customHeight="false" outlineLevel="0" collapsed="false">
      <c r="A210" s="12"/>
      <c r="B210" s="13" t="str">
        <f aca="false">IF($A210="","",IFERROR(INDEX('Loans (reference)'!$B$2:$B$500,MATCH($A210,'Loans (reference)'!$A$2:$A$500,0)),"not found"))</f>
        <v/>
      </c>
      <c r="C210" s="14" t="str">
        <f aca="false">IF($A210="","",IFERROR(INDEX('Loans (reference)'!$E$2:$E$500,MATCH($A210,'Loans (reference)'!$A$2:$A$500,0)),""))</f>
        <v/>
      </c>
      <c r="D210" s="13" t="str">
        <f aca="false">IF($A210="","",IFERROR(INDEX('Loans (reference)'!$K$2:$K$500,MATCH($A210,'Loans (reference)'!$A$2:$A$500,0)),""))</f>
        <v/>
      </c>
      <c r="E210" s="15"/>
      <c r="F210" s="16"/>
      <c r="G210" s="17"/>
      <c r="H210" s="17"/>
      <c r="I210" s="17"/>
      <c r="J210" s="17"/>
      <c r="K210" s="18" t="str">
        <f aca="false">IF(COUNT($G210:$I210)=0,"",SUM($G210:$I210))</f>
        <v/>
      </c>
      <c r="L210" s="15"/>
      <c r="M210" s="15"/>
      <c r="N210" s="15"/>
      <c r="O210" s="13" t="str">
        <f aca="false">IF(COUNTA($A210,$E210:$J210,$L210:$N210)=0,"",IF($A210="","Add Loan UID",IF(ISNA(MATCH($A210,'Loans (reference)'!$A$2:$A$500,0)),"UID not in Loans tab",IF($E210="","Add payment no.",IF(COUNTIFS($A$2:$A$300,$A210,$E$2:$E$300,$E210)&gt;1,"Duplicate payment no.",IF($F210="","Add payment date",IF(COUNT($G210:$I210)=0,"Add an amount","Ready")))))))</f>
        <v/>
      </c>
      <c r="P210" s="19"/>
      <c r="Q210" s="20"/>
    </row>
    <row r="211" customFormat="false" ht="15" hidden="false" customHeight="false" outlineLevel="0" collapsed="false">
      <c r="A211" s="12"/>
      <c r="B211" s="13" t="str">
        <f aca="false">IF($A211="","",IFERROR(INDEX('Loans (reference)'!$B$2:$B$500,MATCH($A211,'Loans (reference)'!$A$2:$A$500,0)),"not found"))</f>
        <v/>
      </c>
      <c r="C211" s="14" t="str">
        <f aca="false">IF($A211="","",IFERROR(INDEX('Loans (reference)'!$E$2:$E$500,MATCH($A211,'Loans (reference)'!$A$2:$A$500,0)),""))</f>
        <v/>
      </c>
      <c r="D211" s="13" t="str">
        <f aca="false">IF($A211="","",IFERROR(INDEX('Loans (reference)'!$K$2:$K$500,MATCH($A211,'Loans (reference)'!$A$2:$A$500,0)),""))</f>
        <v/>
      </c>
      <c r="E211" s="15"/>
      <c r="F211" s="16"/>
      <c r="G211" s="17"/>
      <c r="H211" s="17"/>
      <c r="I211" s="17"/>
      <c r="J211" s="17"/>
      <c r="K211" s="18" t="str">
        <f aca="false">IF(COUNT($G211:$I211)=0,"",SUM($G211:$I211))</f>
        <v/>
      </c>
      <c r="L211" s="15"/>
      <c r="M211" s="15"/>
      <c r="N211" s="15"/>
      <c r="O211" s="13" t="str">
        <f aca="false">IF(COUNTA($A211,$E211:$J211,$L211:$N211)=0,"",IF($A211="","Add Loan UID",IF(ISNA(MATCH($A211,'Loans (reference)'!$A$2:$A$500,0)),"UID not in Loans tab",IF($E211="","Add payment no.",IF(COUNTIFS($A$2:$A$300,$A211,$E$2:$E$300,$E211)&gt;1,"Duplicate payment no.",IF($F211="","Add payment date",IF(COUNT($G211:$I211)=0,"Add an amount","Ready")))))))</f>
        <v/>
      </c>
      <c r="P211" s="19"/>
      <c r="Q211" s="20"/>
    </row>
    <row r="212" customFormat="false" ht="15" hidden="false" customHeight="false" outlineLevel="0" collapsed="false">
      <c r="A212" s="12"/>
      <c r="B212" s="13" t="str">
        <f aca="false">IF($A212="","",IFERROR(INDEX('Loans (reference)'!$B$2:$B$500,MATCH($A212,'Loans (reference)'!$A$2:$A$500,0)),"not found"))</f>
        <v/>
      </c>
      <c r="C212" s="14" t="str">
        <f aca="false">IF($A212="","",IFERROR(INDEX('Loans (reference)'!$E$2:$E$500,MATCH($A212,'Loans (reference)'!$A$2:$A$500,0)),""))</f>
        <v/>
      </c>
      <c r="D212" s="13" t="str">
        <f aca="false">IF($A212="","",IFERROR(INDEX('Loans (reference)'!$K$2:$K$500,MATCH($A212,'Loans (reference)'!$A$2:$A$500,0)),""))</f>
        <v/>
      </c>
      <c r="E212" s="15"/>
      <c r="F212" s="16"/>
      <c r="G212" s="17"/>
      <c r="H212" s="17"/>
      <c r="I212" s="17"/>
      <c r="J212" s="17"/>
      <c r="K212" s="18" t="str">
        <f aca="false">IF(COUNT($G212:$I212)=0,"",SUM($G212:$I212))</f>
        <v/>
      </c>
      <c r="L212" s="15"/>
      <c r="M212" s="15"/>
      <c r="N212" s="15"/>
      <c r="O212" s="13" t="str">
        <f aca="false">IF(COUNTA($A212,$E212:$J212,$L212:$N212)=0,"",IF($A212="","Add Loan UID",IF(ISNA(MATCH($A212,'Loans (reference)'!$A$2:$A$500,0)),"UID not in Loans tab",IF($E212="","Add payment no.",IF(COUNTIFS($A$2:$A$300,$A212,$E$2:$E$300,$E212)&gt;1,"Duplicate payment no.",IF($F212="","Add payment date",IF(COUNT($G212:$I212)=0,"Add an amount","Ready")))))))</f>
        <v/>
      </c>
      <c r="P212" s="19"/>
      <c r="Q212" s="20"/>
    </row>
    <row r="213" customFormat="false" ht="15" hidden="false" customHeight="false" outlineLevel="0" collapsed="false">
      <c r="A213" s="12"/>
      <c r="B213" s="13" t="str">
        <f aca="false">IF($A213="","",IFERROR(INDEX('Loans (reference)'!$B$2:$B$500,MATCH($A213,'Loans (reference)'!$A$2:$A$500,0)),"not found"))</f>
        <v/>
      </c>
      <c r="C213" s="14" t="str">
        <f aca="false">IF($A213="","",IFERROR(INDEX('Loans (reference)'!$E$2:$E$500,MATCH($A213,'Loans (reference)'!$A$2:$A$500,0)),""))</f>
        <v/>
      </c>
      <c r="D213" s="13" t="str">
        <f aca="false">IF($A213="","",IFERROR(INDEX('Loans (reference)'!$K$2:$K$500,MATCH($A213,'Loans (reference)'!$A$2:$A$500,0)),""))</f>
        <v/>
      </c>
      <c r="E213" s="15"/>
      <c r="F213" s="16"/>
      <c r="G213" s="17"/>
      <c r="H213" s="17"/>
      <c r="I213" s="17"/>
      <c r="J213" s="17"/>
      <c r="K213" s="18" t="str">
        <f aca="false">IF(COUNT($G213:$I213)=0,"",SUM($G213:$I213))</f>
        <v/>
      </c>
      <c r="L213" s="15"/>
      <c r="M213" s="15"/>
      <c r="N213" s="15"/>
      <c r="O213" s="13" t="str">
        <f aca="false">IF(COUNTA($A213,$E213:$J213,$L213:$N213)=0,"",IF($A213="","Add Loan UID",IF(ISNA(MATCH($A213,'Loans (reference)'!$A$2:$A$500,0)),"UID not in Loans tab",IF($E213="","Add payment no.",IF(COUNTIFS($A$2:$A$300,$A213,$E$2:$E$300,$E213)&gt;1,"Duplicate payment no.",IF($F213="","Add payment date",IF(COUNT($G213:$I213)=0,"Add an amount","Ready")))))))</f>
        <v/>
      </c>
      <c r="P213" s="19"/>
      <c r="Q213" s="20"/>
    </row>
    <row r="214" customFormat="false" ht="15" hidden="false" customHeight="false" outlineLevel="0" collapsed="false">
      <c r="A214" s="12"/>
      <c r="B214" s="13" t="str">
        <f aca="false">IF($A214="","",IFERROR(INDEX('Loans (reference)'!$B$2:$B$500,MATCH($A214,'Loans (reference)'!$A$2:$A$500,0)),"not found"))</f>
        <v/>
      </c>
      <c r="C214" s="14" t="str">
        <f aca="false">IF($A214="","",IFERROR(INDEX('Loans (reference)'!$E$2:$E$500,MATCH($A214,'Loans (reference)'!$A$2:$A$500,0)),""))</f>
        <v/>
      </c>
      <c r="D214" s="13" t="str">
        <f aca="false">IF($A214="","",IFERROR(INDEX('Loans (reference)'!$K$2:$K$500,MATCH($A214,'Loans (reference)'!$A$2:$A$500,0)),""))</f>
        <v/>
      </c>
      <c r="E214" s="15"/>
      <c r="F214" s="16"/>
      <c r="G214" s="17"/>
      <c r="H214" s="17"/>
      <c r="I214" s="17"/>
      <c r="J214" s="17"/>
      <c r="K214" s="18" t="str">
        <f aca="false">IF(COUNT($G214:$I214)=0,"",SUM($G214:$I214))</f>
        <v/>
      </c>
      <c r="L214" s="15"/>
      <c r="M214" s="15"/>
      <c r="N214" s="15"/>
      <c r="O214" s="13" t="str">
        <f aca="false">IF(COUNTA($A214,$E214:$J214,$L214:$N214)=0,"",IF($A214="","Add Loan UID",IF(ISNA(MATCH($A214,'Loans (reference)'!$A$2:$A$500,0)),"UID not in Loans tab",IF($E214="","Add payment no.",IF(COUNTIFS($A$2:$A$300,$A214,$E$2:$E$300,$E214)&gt;1,"Duplicate payment no.",IF($F214="","Add payment date",IF(COUNT($G214:$I214)=0,"Add an amount","Ready")))))))</f>
        <v/>
      </c>
      <c r="P214" s="19"/>
      <c r="Q214" s="20"/>
    </row>
    <row r="215" customFormat="false" ht="15" hidden="false" customHeight="false" outlineLevel="0" collapsed="false">
      <c r="A215" s="12"/>
      <c r="B215" s="13" t="str">
        <f aca="false">IF($A215="","",IFERROR(INDEX('Loans (reference)'!$B$2:$B$500,MATCH($A215,'Loans (reference)'!$A$2:$A$500,0)),"not found"))</f>
        <v/>
      </c>
      <c r="C215" s="14" t="str">
        <f aca="false">IF($A215="","",IFERROR(INDEX('Loans (reference)'!$E$2:$E$500,MATCH($A215,'Loans (reference)'!$A$2:$A$500,0)),""))</f>
        <v/>
      </c>
      <c r="D215" s="13" t="str">
        <f aca="false">IF($A215="","",IFERROR(INDEX('Loans (reference)'!$K$2:$K$500,MATCH($A215,'Loans (reference)'!$A$2:$A$500,0)),""))</f>
        <v/>
      </c>
      <c r="E215" s="15"/>
      <c r="F215" s="16"/>
      <c r="G215" s="17"/>
      <c r="H215" s="17"/>
      <c r="I215" s="17"/>
      <c r="J215" s="17"/>
      <c r="K215" s="18" t="str">
        <f aca="false">IF(COUNT($G215:$I215)=0,"",SUM($G215:$I215))</f>
        <v/>
      </c>
      <c r="L215" s="15"/>
      <c r="M215" s="15"/>
      <c r="N215" s="15"/>
      <c r="O215" s="13" t="str">
        <f aca="false">IF(COUNTA($A215,$E215:$J215,$L215:$N215)=0,"",IF($A215="","Add Loan UID",IF(ISNA(MATCH($A215,'Loans (reference)'!$A$2:$A$500,0)),"UID not in Loans tab",IF($E215="","Add payment no.",IF(COUNTIFS($A$2:$A$300,$A215,$E$2:$E$300,$E215)&gt;1,"Duplicate payment no.",IF($F215="","Add payment date",IF(COUNT($G215:$I215)=0,"Add an amount","Ready")))))))</f>
        <v/>
      </c>
      <c r="P215" s="19"/>
      <c r="Q215" s="20"/>
    </row>
    <row r="216" customFormat="false" ht="15" hidden="false" customHeight="false" outlineLevel="0" collapsed="false">
      <c r="A216" s="12"/>
      <c r="B216" s="13" t="str">
        <f aca="false">IF($A216="","",IFERROR(INDEX('Loans (reference)'!$B$2:$B$500,MATCH($A216,'Loans (reference)'!$A$2:$A$500,0)),"not found"))</f>
        <v/>
      </c>
      <c r="C216" s="14" t="str">
        <f aca="false">IF($A216="","",IFERROR(INDEX('Loans (reference)'!$E$2:$E$500,MATCH($A216,'Loans (reference)'!$A$2:$A$500,0)),""))</f>
        <v/>
      </c>
      <c r="D216" s="13" t="str">
        <f aca="false">IF($A216="","",IFERROR(INDEX('Loans (reference)'!$K$2:$K$500,MATCH($A216,'Loans (reference)'!$A$2:$A$500,0)),""))</f>
        <v/>
      </c>
      <c r="E216" s="15"/>
      <c r="F216" s="16"/>
      <c r="G216" s="17"/>
      <c r="H216" s="17"/>
      <c r="I216" s="17"/>
      <c r="J216" s="17"/>
      <c r="K216" s="18" t="str">
        <f aca="false">IF(COUNT($G216:$I216)=0,"",SUM($G216:$I216))</f>
        <v/>
      </c>
      <c r="L216" s="15"/>
      <c r="M216" s="15"/>
      <c r="N216" s="15"/>
      <c r="O216" s="13" t="str">
        <f aca="false">IF(COUNTA($A216,$E216:$J216,$L216:$N216)=0,"",IF($A216="","Add Loan UID",IF(ISNA(MATCH($A216,'Loans (reference)'!$A$2:$A$500,0)),"UID not in Loans tab",IF($E216="","Add payment no.",IF(COUNTIFS($A$2:$A$300,$A216,$E$2:$E$300,$E216)&gt;1,"Duplicate payment no.",IF($F216="","Add payment date",IF(COUNT($G216:$I216)=0,"Add an amount","Ready")))))))</f>
        <v/>
      </c>
      <c r="P216" s="19"/>
      <c r="Q216" s="20"/>
    </row>
    <row r="217" customFormat="false" ht="15" hidden="false" customHeight="false" outlineLevel="0" collapsed="false">
      <c r="A217" s="12"/>
      <c r="B217" s="13" t="str">
        <f aca="false">IF($A217="","",IFERROR(INDEX('Loans (reference)'!$B$2:$B$500,MATCH($A217,'Loans (reference)'!$A$2:$A$500,0)),"not found"))</f>
        <v/>
      </c>
      <c r="C217" s="14" t="str">
        <f aca="false">IF($A217="","",IFERROR(INDEX('Loans (reference)'!$E$2:$E$500,MATCH($A217,'Loans (reference)'!$A$2:$A$500,0)),""))</f>
        <v/>
      </c>
      <c r="D217" s="13" t="str">
        <f aca="false">IF($A217="","",IFERROR(INDEX('Loans (reference)'!$K$2:$K$500,MATCH($A217,'Loans (reference)'!$A$2:$A$500,0)),""))</f>
        <v/>
      </c>
      <c r="E217" s="15"/>
      <c r="F217" s="16"/>
      <c r="G217" s="17"/>
      <c r="H217" s="17"/>
      <c r="I217" s="17"/>
      <c r="J217" s="17"/>
      <c r="K217" s="18" t="str">
        <f aca="false">IF(COUNT($G217:$I217)=0,"",SUM($G217:$I217))</f>
        <v/>
      </c>
      <c r="L217" s="15"/>
      <c r="M217" s="15"/>
      <c r="N217" s="15"/>
      <c r="O217" s="13" t="str">
        <f aca="false">IF(COUNTA($A217,$E217:$J217,$L217:$N217)=0,"",IF($A217="","Add Loan UID",IF(ISNA(MATCH($A217,'Loans (reference)'!$A$2:$A$500,0)),"UID not in Loans tab",IF($E217="","Add payment no.",IF(COUNTIFS($A$2:$A$300,$A217,$E$2:$E$300,$E217)&gt;1,"Duplicate payment no.",IF($F217="","Add payment date",IF(COUNT($G217:$I217)=0,"Add an amount","Ready")))))))</f>
        <v/>
      </c>
      <c r="P217" s="19"/>
      <c r="Q217" s="20"/>
    </row>
    <row r="218" customFormat="false" ht="15" hidden="false" customHeight="false" outlineLevel="0" collapsed="false">
      <c r="A218" s="12"/>
      <c r="B218" s="13" t="str">
        <f aca="false">IF($A218="","",IFERROR(INDEX('Loans (reference)'!$B$2:$B$500,MATCH($A218,'Loans (reference)'!$A$2:$A$500,0)),"not found"))</f>
        <v/>
      </c>
      <c r="C218" s="14" t="str">
        <f aca="false">IF($A218="","",IFERROR(INDEX('Loans (reference)'!$E$2:$E$500,MATCH($A218,'Loans (reference)'!$A$2:$A$500,0)),""))</f>
        <v/>
      </c>
      <c r="D218" s="13" t="str">
        <f aca="false">IF($A218="","",IFERROR(INDEX('Loans (reference)'!$K$2:$K$500,MATCH($A218,'Loans (reference)'!$A$2:$A$500,0)),""))</f>
        <v/>
      </c>
      <c r="E218" s="15"/>
      <c r="F218" s="16"/>
      <c r="G218" s="17"/>
      <c r="H218" s="17"/>
      <c r="I218" s="17"/>
      <c r="J218" s="17"/>
      <c r="K218" s="18" t="str">
        <f aca="false">IF(COUNT($G218:$I218)=0,"",SUM($G218:$I218))</f>
        <v/>
      </c>
      <c r="L218" s="15"/>
      <c r="M218" s="15"/>
      <c r="N218" s="15"/>
      <c r="O218" s="13" t="str">
        <f aca="false">IF(COUNTA($A218,$E218:$J218,$L218:$N218)=0,"",IF($A218="","Add Loan UID",IF(ISNA(MATCH($A218,'Loans (reference)'!$A$2:$A$500,0)),"UID not in Loans tab",IF($E218="","Add payment no.",IF(COUNTIFS($A$2:$A$300,$A218,$E$2:$E$300,$E218)&gt;1,"Duplicate payment no.",IF($F218="","Add payment date",IF(COUNT($G218:$I218)=0,"Add an amount","Ready")))))))</f>
        <v/>
      </c>
      <c r="P218" s="19"/>
      <c r="Q218" s="20"/>
    </row>
    <row r="219" customFormat="false" ht="15" hidden="false" customHeight="false" outlineLevel="0" collapsed="false">
      <c r="A219" s="12"/>
      <c r="B219" s="13" t="str">
        <f aca="false">IF($A219="","",IFERROR(INDEX('Loans (reference)'!$B$2:$B$500,MATCH($A219,'Loans (reference)'!$A$2:$A$500,0)),"not found"))</f>
        <v/>
      </c>
      <c r="C219" s="14" t="str">
        <f aca="false">IF($A219="","",IFERROR(INDEX('Loans (reference)'!$E$2:$E$500,MATCH($A219,'Loans (reference)'!$A$2:$A$500,0)),""))</f>
        <v/>
      </c>
      <c r="D219" s="13" t="str">
        <f aca="false">IF($A219="","",IFERROR(INDEX('Loans (reference)'!$K$2:$K$500,MATCH($A219,'Loans (reference)'!$A$2:$A$500,0)),""))</f>
        <v/>
      </c>
      <c r="E219" s="15"/>
      <c r="F219" s="16"/>
      <c r="G219" s="17"/>
      <c r="H219" s="17"/>
      <c r="I219" s="17"/>
      <c r="J219" s="17"/>
      <c r="K219" s="18" t="str">
        <f aca="false">IF(COUNT($G219:$I219)=0,"",SUM($G219:$I219))</f>
        <v/>
      </c>
      <c r="L219" s="15"/>
      <c r="M219" s="15"/>
      <c r="N219" s="15"/>
      <c r="O219" s="13" t="str">
        <f aca="false">IF(COUNTA($A219,$E219:$J219,$L219:$N219)=0,"",IF($A219="","Add Loan UID",IF(ISNA(MATCH($A219,'Loans (reference)'!$A$2:$A$500,0)),"UID not in Loans tab",IF($E219="","Add payment no.",IF(COUNTIFS($A$2:$A$300,$A219,$E$2:$E$300,$E219)&gt;1,"Duplicate payment no.",IF($F219="","Add payment date",IF(COUNT($G219:$I219)=0,"Add an amount","Ready")))))))</f>
        <v/>
      </c>
      <c r="P219" s="19"/>
      <c r="Q219" s="20"/>
    </row>
    <row r="220" customFormat="false" ht="15" hidden="false" customHeight="false" outlineLevel="0" collapsed="false">
      <c r="A220" s="12"/>
      <c r="B220" s="13" t="str">
        <f aca="false">IF($A220="","",IFERROR(INDEX('Loans (reference)'!$B$2:$B$500,MATCH($A220,'Loans (reference)'!$A$2:$A$500,0)),"not found"))</f>
        <v/>
      </c>
      <c r="C220" s="14" t="str">
        <f aca="false">IF($A220="","",IFERROR(INDEX('Loans (reference)'!$E$2:$E$500,MATCH($A220,'Loans (reference)'!$A$2:$A$500,0)),""))</f>
        <v/>
      </c>
      <c r="D220" s="13" t="str">
        <f aca="false">IF($A220="","",IFERROR(INDEX('Loans (reference)'!$K$2:$K$500,MATCH($A220,'Loans (reference)'!$A$2:$A$500,0)),""))</f>
        <v/>
      </c>
      <c r="E220" s="15"/>
      <c r="F220" s="16"/>
      <c r="G220" s="17"/>
      <c r="H220" s="17"/>
      <c r="I220" s="17"/>
      <c r="J220" s="17"/>
      <c r="K220" s="18" t="str">
        <f aca="false">IF(COUNT($G220:$I220)=0,"",SUM($G220:$I220))</f>
        <v/>
      </c>
      <c r="L220" s="15"/>
      <c r="M220" s="15"/>
      <c r="N220" s="15"/>
      <c r="O220" s="13" t="str">
        <f aca="false">IF(COUNTA($A220,$E220:$J220,$L220:$N220)=0,"",IF($A220="","Add Loan UID",IF(ISNA(MATCH($A220,'Loans (reference)'!$A$2:$A$500,0)),"UID not in Loans tab",IF($E220="","Add payment no.",IF(COUNTIFS($A$2:$A$300,$A220,$E$2:$E$300,$E220)&gt;1,"Duplicate payment no.",IF($F220="","Add payment date",IF(COUNT($G220:$I220)=0,"Add an amount","Ready")))))))</f>
        <v/>
      </c>
      <c r="P220" s="19"/>
      <c r="Q220" s="20"/>
    </row>
    <row r="221" customFormat="false" ht="15" hidden="false" customHeight="false" outlineLevel="0" collapsed="false">
      <c r="A221" s="12"/>
      <c r="B221" s="13" t="str">
        <f aca="false">IF($A221="","",IFERROR(INDEX('Loans (reference)'!$B$2:$B$500,MATCH($A221,'Loans (reference)'!$A$2:$A$500,0)),"not found"))</f>
        <v/>
      </c>
      <c r="C221" s="14" t="str">
        <f aca="false">IF($A221="","",IFERROR(INDEX('Loans (reference)'!$E$2:$E$500,MATCH($A221,'Loans (reference)'!$A$2:$A$500,0)),""))</f>
        <v/>
      </c>
      <c r="D221" s="13" t="str">
        <f aca="false">IF($A221="","",IFERROR(INDEX('Loans (reference)'!$K$2:$K$500,MATCH($A221,'Loans (reference)'!$A$2:$A$500,0)),""))</f>
        <v/>
      </c>
      <c r="E221" s="15"/>
      <c r="F221" s="16"/>
      <c r="G221" s="17"/>
      <c r="H221" s="17"/>
      <c r="I221" s="17"/>
      <c r="J221" s="17"/>
      <c r="K221" s="18" t="str">
        <f aca="false">IF(COUNT($G221:$I221)=0,"",SUM($G221:$I221))</f>
        <v/>
      </c>
      <c r="L221" s="15"/>
      <c r="M221" s="15"/>
      <c r="N221" s="15"/>
      <c r="O221" s="13" t="str">
        <f aca="false">IF(COUNTA($A221,$E221:$J221,$L221:$N221)=0,"",IF($A221="","Add Loan UID",IF(ISNA(MATCH($A221,'Loans (reference)'!$A$2:$A$500,0)),"UID not in Loans tab",IF($E221="","Add payment no.",IF(COUNTIFS($A$2:$A$300,$A221,$E$2:$E$300,$E221)&gt;1,"Duplicate payment no.",IF($F221="","Add payment date",IF(COUNT($G221:$I221)=0,"Add an amount","Ready")))))))</f>
        <v/>
      </c>
      <c r="P221" s="19"/>
      <c r="Q221" s="20"/>
    </row>
    <row r="222" customFormat="false" ht="15" hidden="false" customHeight="false" outlineLevel="0" collapsed="false">
      <c r="A222" s="12"/>
      <c r="B222" s="13" t="str">
        <f aca="false">IF($A222="","",IFERROR(INDEX('Loans (reference)'!$B$2:$B$500,MATCH($A222,'Loans (reference)'!$A$2:$A$500,0)),"not found"))</f>
        <v/>
      </c>
      <c r="C222" s="14" t="str">
        <f aca="false">IF($A222="","",IFERROR(INDEX('Loans (reference)'!$E$2:$E$500,MATCH($A222,'Loans (reference)'!$A$2:$A$500,0)),""))</f>
        <v/>
      </c>
      <c r="D222" s="13" t="str">
        <f aca="false">IF($A222="","",IFERROR(INDEX('Loans (reference)'!$K$2:$K$500,MATCH($A222,'Loans (reference)'!$A$2:$A$500,0)),""))</f>
        <v/>
      </c>
      <c r="E222" s="15"/>
      <c r="F222" s="16"/>
      <c r="G222" s="17"/>
      <c r="H222" s="17"/>
      <c r="I222" s="17"/>
      <c r="J222" s="17"/>
      <c r="K222" s="18" t="str">
        <f aca="false">IF(COUNT($G222:$I222)=0,"",SUM($G222:$I222))</f>
        <v/>
      </c>
      <c r="L222" s="15"/>
      <c r="M222" s="15"/>
      <c r="N222" s="15"/>
      <c r="O222" s="13" t="str">
        <f aca="false">IF(COUNTA($A222,$E222:$J222,$L222:$N222)=0,"",IF($A222="","Add Loan UID",IF(ISNA(MATCH($A222,'Loans (reference)'!$A$2:$A$500,0)),"UID not in Loans tab",IF($E222="","Add payment no.",IF(COUNTIFS($A$2:$A$300,$A222,$E$2:$E$300,$E222)&gt;1,"Duplicate payment no.",IF($F222="","Add payment date",IF(COUNT($G222:$I222)=0,"Add an amount","Ready")))))))</f>
        <v/>
      </c>
      <c r="P222" s="19"/>
      <c r="Q222" s="20"/>
    </row>
    <row r="223" customFormat="false" ht="15" hidden="false" customHeight="false" outlineLevel="0" collapsed="false">
      <c r="A223" s="12"/>
      <c r="B223" s="13" t="str">
        <f aca="false">IF($A223="","",IFERROR(INDEX('Loans (reference)'!$B$2:$B$500,MATCH($A223,'Loans (reference)'!$A$2:$A$500,0)),"not found"))</f>
        <v/>
      </c>
      <c r="C223" s="14" t="str">
        <f aca="false">IF($A223="","",IFERROR(INDEX('Loans (reference)'!$E$2:$E$500,MATCH($A223,'Loans (reference)'!$A$2:$A$500,0)),""))</f>
        <v/>
      </c>
      <c r="D223" s="13" t="str">
        <f aca="false">IF($A223="","",IFERROR(INDEX('Loans (reference)'!$K$2:$K$500,MATCH($A223,'Loans (reference)'!$A$2:$A$500,0)),""))</f>
        <v/>
      </c>
      <c r="E223" s="15"/>
      <c r="F223" s="16"/>
      <c r="G223" s="17"/>
      <c r="H223" s="17"/>
      <c r="I223" s="17"/>
      <c r="J223" s="17"/>
      <c r="K223" s="18" t="str">
        <f aca="false">IF(COUNT($G223:$I223)=0,"",SUM($G223:$I223))</f>
        <v/>
      </c>
      <c r="L223" s="15"/>
      <c r="M223" s="15"/>
      <c r="N223" s="15"/>
      <c r="O223" s="13" t="str">
        <f aca="false">IF(COUNTA($A223,$E223:$J223,$L223:$N223)=0,"",IF($A223="","Add Loan UID",IF(ISNA(MATCH($A223,'Loans (reference)'!$A$2:$A$500,0)),"UID not in Loans tab",IF($E223="","Add payment no.",IF(COUNTIFS($A$2:$A$300,$A223,$E$2:$E$300,$E223)&gt;1,"Duplicate payment no.",IF($F223="","Add payment date",IF(COUNT($G223:$I223)=0,"Add an amount","Ready")))))))</f>
        <v/>
      </c>
      <c r="P223" s="19"/>
      <c r="Q223" s="20"/>
    </row>
    <row r="224" customFormat="false" ht="15" hidden="false" customHeight="false" outlineLevel="0" collapsed="false">
      <c r="A224" s="12"/>
      <c r="B224" s="13" t="str">
        <f aca="false">IF($A224="","",IFERROR(INDEX('Loans (reference)'!$B$2:$B$500,MATCH($A224,'Loans (reference)'!$A$2:$A$500,0)),"not found"))</f>
        <v/>
      </c>
      <c r="C224" s="14" t="str">
        <f aca="false">IF($A224="","",IFERROR(INDEX('Loans (reference)'!$E$2:$E$500,MATCH($A224,'Loans (reference)'!$A$2:$A$500,0)),""))</f>
        <v/>
      </c>
      <c r="D224" s="13" t="str">
        <f aca="false">IF($A224="","",IFERROR(INDEX('Loans (reference)'!$K$2:$K$500,MATCH($A224,'Loans (reference)'!$A$2:$A$500,0)),""))</f>
        <v/>
      </c>
      <c r="E224" s="15"/>
      <c r="F224" s="16"/>
      <c r="G224" s="17"/>
      <c r="H224" s="17"/>
      <c r="I224" s="17"/>
      <c r="J224" s="17"/>
      <c r="K224" s="18" t="str">
        <f aca="false">IF(COUNT($G224:$I224)=0,"",SUM($G224:$I224))</f>
        <v/>
      </c>
      <c r="L224" s="15"/>
      <c r="M224" s="15"/>
      <c r="N224" s="15"/>
      <c r="O224" s="13" t="str">
        <f aca="false">IF(COUNTA($A224,$E224:$J224,$L224:$N224)=0,"",IF($A224="","Add Loan UID",IF(ISNA(MATCH($A224,'Loans (reference)'!$A$2:$A$500,0)),"UID not in Loans tab",IF($E224="","Add payment no.",IF(COUNTIFS($A$2:$A$300,$A224,$E$2:$E$300,$E224)&gt;1,"Duplicate payment no.",IF($F224="","Add payment date",IF(COUNT($G224:$I224)=0,"Add an amount","Ready")))))))</f>
        <v/>
      </c>
      <c r="P224" s="19"/>
      <c r="Q224" s="20"/>
    </row>
    <row r="225" customFormat="false" ht="15" hidden="false" customHeight="false" outlineLevel="0" collapsed="false">
      <c r="A225" s="12"/>
      <c r="B225" s="13" t="str">
        <f aca="false">IF($A225="","",IFERROR(INDEX('Loans (reference)'!$B$2:$B$500,MATCH($A225,'Loans (reference)'!$A$2:$A$500,0)),"not found"))</f>
        <v/>
      </c>
      <c r="C225" s="14" t="str">
        <f aca="false">IF($A225="","",IFERROR(INDEX('Loans (reference)'!$E$2:$E$500,MATCH($A225,'Loans (reference)'!$A$2:$A$500,0)),""))</f>
        <v/>
      </c>
      <c r="D225" s="13" t="str">
        <f aca="false">IF($A225="","",IFERROR(INDEX('Loans (reference)'!$K$2:$K$500,MATCH($A225,'Loans (reference)'!$A$2:$A$500,0)),""))</f>
        <v/>
      </c>
      <c r="E225" s="15"/>
      <c r="F225" s="16"/>
      <c r="G225" s="17"/>
      <c r="H225" s="17"/>
      <c r="I225" s="17"/>
      <c r="J225" s="17"/>
      <c r="K225" s="18" t="str">
        <f aca="false">IF(COUNT($G225:$I225)=0,"",SUM($G225:$I225))</f>
        <v/>
      </c>
      <c r="L225" s="15"/>
      <c r="M225" s="15"/>
      <c r="N225" s="15"/>
      <c r="O225" s="13" t="str">
        <f aca="false">IF(COUNTA($A225,$E225:$J225,$L225:$N225)=0,"",IF($A225="","Add Loan UID",IF(ISNA(MATCH($A225,'Loans (reference)'!$A$2:$A$500,0)),"UID not in Loans tab",IF($E225="","Add payment no.",IF(COUNTIFS($A$2:$A$300,$A225,$E$2:$E$300,$E225)&gt;1,"Duplicate payment no.",IF($F225="","Add payment date",IF(COUNT($G225:$I225)=0,"Add an amount","Ready")))))))</f>
        <v/>
      </c>
      <c r="P225" s="19"/>
      <c r="Q225" s="20"/>
    </row>
    <row r="226" customFormat="false" ht="15" hidden="false" customHeight="false" outlineLevel="0" collapsed="false">
      <c r="A226" s="12"/>
      <c r="B226" s="13" t="str">
        <f aca="false">IF($A226="","",IFERROR(INDEX('Loans (reference)'!$B$2:$B$500,MATCH($A226,'Loans (reference)'!$A$2:$A$500,0)),"not found"))</f>
        <v/>
      </c>
      <c r="C226" s="14" t="str">
        <f aca="false">IF($A226="","",IFERROR(INDEX('Loans (reference)'!$E$2:$E$500,MATCH($A226,'Loans (reference)'!$A$2:$A$500,0)),""))</f>
        <v/>
      </c>
      <c r="D226" s="13" t="str">
        <f aca="false">IF($A226="","",IFERROR(INDEX('Loans (reference)'!$K$2:$K$500,MATCH($A226,'Loans (reference)'!$A$2:$A$500,0)),""))</f>
        <v/>
      </c>
      <c r="E226" s="15"/>
      <c r="F226" s="16"/>
      <c r="G226" s="17"/>
      <c r="H226" s="17"/>
      <c r="I226" s="17"/>
      <c r="J226" s="17"/>
      <c r="K226" s="18" t="str">
        <f aca="false">IF(COUNT($G226:$I226)=0,"",SUM($G226:$I226))</f>
        <v/>
      </c>
      <c r="L226" s="15"/>
      <c r="M226" s="15"/>
      <c r="N226" s="15"/>
      <c r="O226" s="13" t="str">
        <f aca="false">IF(COUNTA($A226,$E226:$J226,$L226:$N226)=0,"",IF($A226="","Add Loan UID",IF(ISNA(MATCH($A226,'Loans (reference)'!$A$2:$A$500,0)),"UID not in Loans tab",IF($E226="","Add payment no.",IF(COUNTIFS($A$2:$A$300,$A226,$E$2:$E$300,$E226)&gt;1,"Duplicate payment no.",IF($F226="","Add payment date",IF(COUNT($G226:$I226)=0,"Add an amount","Ready")))))))</f>
        <v/>
      </c>
      <c r="P226" s="19"/>
      <c r="Q226" s="20"/>
    </row>
    <row r="227" customFormat="false" ht="15" hidden="false" customHeight="false" outlineLevel="0" collapsed="false">
      <c r="A227" s="12"/>
      <c r="B227" s="13" t="str">
        <f aca="false">IF($A227="","",IFERROR(INDEX('Loans (reference)'!$B$2:$B$500,MATCH($A227,'Loans (reference)'!$A$2:$A$500,0)),"not found"))</f>
        <v/>
      </c>
      <c r="C227" s="14" t="str">
        <f aca="false">IF($A227="","",IFERROR(INDEX('Loans (reference)'!$E$2:$E$500,MATCH($A227,'Loans (reference)'!$A$2:$A$500,0)),""))</f>
        <v/>
      </c>
      <c r="D227" s="13" t="str">
        <f aca="false">IF($A227="","",IFERROR(INDEX('Loans (reference)'!$K$2:$K$500,MATCH($A227,'Loans (reference)'!$A$2:$A$500,0)),""))</f>
        <v/>
      </c>
      <c r="E227" s="15"/>
      <c r="F227" s="16"/>
      <c r="G227" s="17"/>
      <c r="H227" s="17"/>
      <c r="I227" s="17"/>
      <c r="J227" s="17"/>
      <c r="K227" s="18" t="str">
        <f aca="false">IF(COUNT($G227:$I227)=0,"",SUM($G227:$I227))</f>
        <v/>
      </c>
      <c r="L227" s="15"/>
      <c r="M227" s="15"/>
      <c r="N227" s="15"/>
      <c r="O227" s="13" t="str">
        <f aca="false">IF(COUNTA($A227,$E227:$J227,$L227:$N227)=0,"",IF($A227="","Add Loan UID",IF(ISNA(MATCH($A227,'Loans (reference)'!$A$2:$A$500,0)),"UID not in Loans tab",IF($E227="","Add payment no.",IF(COUNTIFS($A$2:$A$300,$A227,$E$2:$E$300,$E227)&gt;1,"Duplicate payment no.",IF($F227="","Add payment date",IF(COUNT($G227:$I227)=0,"Add an amount","Ready")))))))</f>
        <v/>
      </c>
      <c r="P227" s="19"/>
      <c r="Q227" s="20"/>
    </row>
    <row r="228" customFormat="false" ht="15" hidden="false" customHeight="false" outlineLevel="0" collapsed="false">
      <c r="A228" s="12"/>
      <c r="B228" s="13" t="str">
        <f aca="false">IF($A228="","",IFERROR(INDEX('Loans (reference)'!$B$2:$B$500,MATCH($A228,'Loans (reference)'!$A$2:$A$500,0)),"not found"))</f>
        <v/>
      </c>
      <c r="C228" s="14" t="str">
        <f aca="false">IF($A228="","",IFERROR(INDEX('Loans (reference)'!$E$2:$E$500,MATCH($A228,'Loans (reference)'!$A$2:$A$500,0)),""))</f>
        <v/>
      </c>
      <c r="D228" s="13" t="str">
        <f aca="false">IF($A228="","",IFERROR(INDEX('Loans (reference)'!$K$2:$K$500,MATCH($A228,'Loans (reference)'!$A$2:$A$500,0)),""))</f>
        <v/>
      </c>
      <c r="E228" s="15"/>
      <c r="F228" s="16"/>
      <c r="G228" s="17"/>
      <c r="H228" s="17"/>
      <c r="I228" s="17"/>
      <c r="J228" s="17"/>
      <c r="K228" s="18" t="str">
        <f aca="false">IF(COUNT($G228:$I228)=0,"",SUM($G228:$I228))</f>
        <v/>
      </c>
      <c r="L228" s="15"/>
      <c r="M228" s="15"/>
      <c r="N228" s="15"/>
      <c r="O228" s="13" t="str">
        <f aca="false">IF(COUNTA($A228,$E228:$J228,$L228:$N228)=0,"",IF($A228="","Add Loan UID",IF(ISNA(MATCH($A228,'Loans (reference)'!$A$2:$A$500,0)),"UID not in Loans tab",IF($E228="","Add payment no.",IF(COUNTIFS($A$2:$A$300,$A228,$E$2:$E$300,$E228)&gt;1,"Duplicate payment no.",IF($F228="","Add payment date",IF(COUNT($G228:$I228)=0,"Add an amount","Ready")))))))</f>
        <v/>
      </c>
      <c r="P228" s="19"/>
      <c r="Q228" s="20"/>
    </row>
    <row r="229" customFormat="false" ht="15" hidden="false" customHeight="false" outlineLevel="0" collapsed="false">
      <c r="A229" s="12"/>
      <c r="B229" s="13" t="str">
        <f aca="false">IF($A229="","",IFERROR(INDEX('Loans (reference)'!$B$2:$B$500,MATCH($A229,'Loans (reference)'!$A$2:$A$500,0)),"not found"))</f>
        <v/>
      </c>
      <c r="C229" s="14" t="str">
        <f aca="false">IF($A229="","",IFERROR(INDEX('Loans (reference)'!$E$2:$E$500,MATCH($A229,'Loans (reference)'!$A$2:$A$500,0)),""))</f>
        <v/>
      </c>
      <c r="D229" s="13" t="str">
        <f aca="false">IF($A229="","",IFERROR(INDEX('Loans (reference)'!$K$2:$K$500,MATCH($A229,'Loans (reference)'!$A$2:$A$500,0)),""))</f>
        <v/>
      </c>
      <c r="E229" s="15"/>
      <c r="F229" s="16"/>
      <c r="G229" s="17"/>
      <c r="H229" s="17"/>
      <c r="I229" s="17"/>
      <c r="J229" s="17"/>
      <c r="K229" s="18" t="str">
        <f aca="false">IF(COUNT($G229:$I229)=0,"",SUM($G229:$I229))</f>
        <v/>
      </c>
      <c r="L229" s="15"/>
      <c r="M229" s="15"/>
      <c r="N229" s="15"/>
      <c r="O229" s="13" t="str">
        <f aca="false">IF(COUNTA($A229,$E229:$J229,$L229:$N229)=0,"",IF($A229="","Add Loan UID",IF(ISNA(MATCH($A229,'Loans (reference)'!$A$2:$A$500,0)),"UID not in Loans tab",IF($E229="","Add payment no.",IF(COUNTIFS($A$2:$A$300,$A229,$E$2:$E$300,$E229)&gt;1,"Duplicate payment no.",IF($F229="","Add payment date",IF(COUNT($G229:$I229)=0,"Add an amount","Ready")))))))</f>
        <v/>
      </c>
      <c r="P229" s="19"/>
      <c r="Q229" s="20"/>
    </row>
    <row r="230" customFormat="false" ht="15" hidden="false" customHeight="false" outlineLevel="0" collapsed="false">
      <c r="A230" s="12"/>
      <c r="B230" s="13" t="str">
        <f aca="false">IF($A230="","",IFERROR(INDEX('Loans (reference)'!$B$2:$B$500,MATCH($A230,'Loans (reference)'!$A$2:$A$500,0)),"not found"))</f>
        <v/>
      </c>
      <c r="C230" s="14" t="str">
        <f aca="false">IF($A230="","",IFERROR(INDEX('Loans (reference)'!$E$2:$E$500,MATCH($A230,'Loans (reference)'!$A$2:$A$500,0)),""))</f>
        <v/>
      </c>
      <c r="D230" s="13" t="str">
        <f aca="false">IF($A230="","",IFERROR(INDEX('Loans (reference)'!$K$2:$K$500,MATCH($A230,'Loans (reference)'!$A$2:$A$500,0)),""))</f>
        <v/>
      </c>
      <c r="E230" s="15"/>
      <c r="F230" s="16"/>
      <c r="G230" s="17"/>
      <c r="H230" s="17"/>
      <c r="I230" s="17"/>
      <c r="J230" s="17"/>
      <c r="K230" s="18" t="str">
        <f aca="false">IF(COUNT($G230:$I230)=0,"",SUM($G230:$I230))</f>
        <v/>
      </c>
      <c r="L230" s="15"/>
      <c r="M230" s="15"/>
      <c r="N230" s="15"/>
      <c r="O230" s="13" t="str">
        <f aca="false">IF(COUNTA($A230,$E230:$J230,$L230:$N230)=0,"",IF($A230="","Add Loan UID",IF(ISNA(MATCH($A230,'Loans (reference)'!$A$2:$A$500,0)),"UID not in Loans tab",IF($E230="","Add payment no.",IF(COUNTIFS($A$2:$A$300,$A230,$E$2:$E$300,$E230)&gt;1,"Duplicate payment no.",IF($F230="","Add payment date",IF(COUNT($G230:$I230)=0,"Add an amount","Ready")))))))</f>
        <v/>
      </c>
      <c r="P230" s="19"/>
      <c r="Q230" s="20"/>
    </row>
    <row r="231" customFormat="false" ht="15" hidden="false" customHeight="false" outlineLevel="0" collapsed="false">
      <c r="A231" s="12"/>
      <c r="B231" s="13" t="str">
        <f aca="false">IF($A231="","",IFERROR(INDEX('Loans (reference)'!$B$2:$B$500,MATCH($A231,'Loans (reference)'!$A$2:$A$500,0)),"not found"))</f>
        <v/>
      </c>
      <c r="C231" s="14" t="str">
        <f aca="false">IF($A231="","",IFERROR(INDEX('Loans (reference)'!$E$2:$E$500,MATCH($A231,'Loans (reference)'!$A$2:$A$500,0)),""))</f>
        <v/>
      </c>
      <c r="D231" s="13" t="str">
        <f aca="false">IF($A231="","",IFERROR(INDEX('Loans (reference)'!$K$2:$K$500,MATCH($A231,'Loans (reference)'!$A$2:$A$500,0)),""))</f>
        <v/>
      </c>
      <c r="E231" s="15"/>
      <c r="F231" s="16"/>
      <c r="G231" s="17"/>
      <c r="H231" s="17"/>
      <c r="I231" s="17"/>
      <c r="J231" s="17"/>
      <c r="K231" s="18" t="str">
        <f aca="false">IF(COUNT($G231:$I231)=0,"",SUM($G231:$I231))</f>
        <v/>
      </c>
      <c r="L231" s="15"/>
      <c r="M231" s="15"/>
      <c r="N231" s="15"/>
      <c r="O231" s="13" t="str">
        <f aca="false">IF(COUNTA($A231,$E231:$J231,$L231:$N231)=0,"",IF($A231="","Add Loan UID",IF(ISNA(MATCH($A231,'Loans (reference)'!$A$2:$A$500,0)),"UID not in Loans tab",IF($E231="","Add payment no.",IF(COUNTIFS($A$2:$A$300,$A231,$E$2:$E$300,$E231)&gt;1,"Duplicate payment no.",IF($F231="","Add payment date",IF(COUNT($G231:$I231)=0,"Add an amount","Ready")))))))</f>
        <v/>
      </c>
      <c r="P231" s="19"/>
      <c r="Q231" s="20"/>
    </row>
    <row r="232" customFormat="false" ht="15" hidden="false" customHeight="false" outlineLevel="0" collapsed="false">
      <c r="A232" s="12"/>
      <c r="B232" s="13" t="str">
        <f aca="false">IF($A232="","",IFERROR(INDEX('Loans (reference)'!$B$2:$B$500,MATCH($A232,'Loans (reference)'!$A$2:$A$500,0)),"not found"))</f>
        <v/>
      </c>
      <c r="C232" s="14" t="str">
        <f aca="false">IF($A232="","",IFERROR(INDEX('Loans (reference)'!$E$2:$E$500,MATCH($A232,'Loans (reference)'!$A$2:$A$500,0)),""))</f>
        <v/>
      </c>
      <c r="D232" s="13" t="str">
        <f aca="false">IF($A232="","",IFERROR(INDEX('Loans (reference)'!$K$2:$K$500,MATCH($A232,'Loans (reference)'!$A$2:$A$500,0)),""))</f>
        <v/>
      </c>
      <c r="E232" s="15"/>
      <c r="F232" s="16"/>
      <c r="G232" s="17"/>
      <c r="H232" s="17"/>
      <c r="I232" s="17"/>
      <c r="J232" s="17"/>
      <c r="K232" s="18" t="str">
        <f aca="false">IF(COUNT($G232:$I232)=0,"",SUM($G232:$I232))</f>
        <v/>
      </c>
      <c r="L232" s="15"/>
      <c r="M232" s="15"/>
      <c r="N232" s="15"/>
      <c r="O232" s="13" t="str">
        <f aca="false">IF(COUNTA($A232,$E232:$J232,$L232:$N232)=0,"",IF($A232="","Add Loan UID",IF(ISNA(MATCH($A232,'Loans (reference)'!$A$2:$A$500,0)),"UID not in Loans tab",IF($E232="","Add payment no.",IF(COUNTIFS($A$2:$A$300,$A232,$E$2:$E$300,$E232)&gt;1,"Duplicate payment no.",IF($F232="","Add payment date",IF(COUNT($G232:$I232)=0,"Add an amount","Ready")))))))</f>
        <v/>
      </c>
      <c r="P232" s="19"/>
      <c r="Q232" s="20"/>
    </row>
    <row r="233" customFormat="false" ht="15" hidden="false" customHeight="false" outlineLevel="0" collapsed="false">
      <c r="A233" s="12"/>
      <c r="B233" s="13" t="str">
        <f aca="false">IF($A233="","",IFERROR(INDEX('Loans (reference)'!$B$2:$B$500,MATCH($A233,'Loans (reference)'!$A$2:$A$500,0)),"not found"))</f>
        <v/>
      </c>
      <c r="C233" s="14" t="str">
        <f aca="false">IF($A233="","",IFERROR(INDEX('Loans (reference)'!$E$2:$E$500,MATCH($A233,'Loans (reference)'!$A$2:$A$500,0)),""))</f>
        <v/>
      </c>
      <c r="D233" s="13" t="str">
        <f aca="false">IF($A233="","",IFERROR(INDEX('Loans (reference)'!$K$2:$K$500,MATCH($A233,'Loans (reference)'!$A$2:$A$500,0)),""))</f>
        <v/>
      </c>
      <c r="E233" s="15"/>
      <c r="F233" s="16"/>
      <c r="G233" s="17"/>
      <c r="H233" s="17"/>
      <c r="I233" s="17"/>
      <c r="J233" s="17"/>
      <c r="K233" s="18" t="str">
        <f aca="false">IF(COUNT($G233:$I233)=0,"",SUM($G233:$I233))</f>
        <v/>
      </c>
      <c r="L233" s="15"/>
      <c r="M233" s="15"/>
      <c r="N233" s="15"/>
      <c r="O233" s="13" t="str">
        <f aca="false">IF(COUNTA($A233,$E233:$J233,$L233:$N233)=0,"",IF($A233="","Add Loan UID",IF(ISNA(MATCH($A233,'Loans (reference)'!$A$2:$A$500,0)),"UID not in Loans tab",IF($E233="","Add payment no.",IF(COUNTIFS($A$2:$A$300,$A233,$E$2:$E$300,$E233)&gt;1,"Duplicate payment no.",IF($F233="","Add payment date",IF(COUNT($G233:$I233)=0,"Add an amount","Ready")))))))</f>
        <v/>
      </c>
      <c r="P233" s="19"/>
      <c r="Q233" s="20"/>
    </row>
    <row r="234" customFormat="false" ht="15" hidden="false" customHeight="false" outlineLevel="0" collapsed="false">
      <c r="A234" s="12"/>
      <c r="B234" s="13" t="str">
        <f aca="false">IF($A234="","",IFERROR(INDEX('Loans (reference)'!$B$2:$B$500,MATCH($A234,'Loans (reference)'!$A$2:$A$500,0)),"not found"))</f>
        <v/>
      </c>
      <c r="C234" s="14" t="str">
        <f aca="false">IF($A234="","",IFERROR(INDEX('Loans (reference)'!$E$2:$E$500,MATCH($A234,'Loans (reference)'!$A$2:$A$500,0)),""))</f>
        <v/>
      </c>
      <c r="D234" s="13" t="str">
        <f aca="false">IF($A234="","",IFERROR(INDEX('Loans (reference)'!$K$2:$K$500,MATCH($A234,'Loans (reference)'!$A$2:$A$500,0)),""))</f>
        <v/>
      </c>
      <c r="E234" s="15"/>
      <c r="F234" s="16"/>
      <c r="G234" s="17"/>
      <c r="H234" s="17"/>
      <c r="I234" s="17"/>
      <c r="J234" s="17"/>
      <c r="K234" s="18" t="str">
        <f aca="false">IF(COUNT($G234:$I234)=0,"",SUM($G234:$I234))</f>
        <v/>
      </c>
      <c r="L234" s="15"/>
      <c r="M234" s="15"/>
      <c r="N234" s="15"/>
      <c r="O234" s="13" t="str">
        <f aca="false">IF(COUNTA($A234,$E234:$J234,$L234:$N234)=0,"",IF($A234="","Add Loan UID",IF(ISNA(MATCH($A234,'Loans (reference)'!$A$2:$A$500,0)),"UID not in Loans tab",IF($E234="","Add payment no.",IF(COUNTIFS($A$2:$A$300,$A234,$E$2:$E$300,$E234)&gt;1,"Duplicate payment no.",IF($F234="","Add payment date",IF(COUNT($G234:$I234)=0,"Add an amount","Ready")))))))</f>
        <v/>
      </c>
      <c r="P234" s="19"/>
      <c r="Q234" s="20"/>
    </row>
    <row r="235" customFormat="false" ht="15" hidden="false" customHeight="false" outlineLevel="0" collapsed="false">
      <c r="A235" s="12"/>
      <c r="B235" s="13" t="str">
        <f aca="false">IF($A235="","",IFERROR(INDEX('Loans (reference)'!$B$2:$B$500,MATCH($A235,'Loans (reference)'!$A$2:$A$500,0)),"not found"))</f>
        <v/>
      </c>
      <c r="C235" s="14" t="str">
        <f aca="false">IF($A235="","",IFERROR(INDEX('Loans (reference)'!$E$2:$E$500,MATCH($A235,'Loans (reference)'!$A$2:$A$500,0)),""))</f>
        <v/>
      </c>
      <c r="D235" s="13" t="str">
        <f aca="false">IF($A235="","",IFERROR(INDEX('Loans (reference)'!$K$2:$K$500,MATCH($A235,'Loans (reference)'!$A$2:$A$500,0)),""))</f>
        <v/>
      </c>
      <c r="E235" s="15"/>
      <c r="F235" s="16"/>
      <c r="G235" s="17"/>
      <c r="H235" s="17"/>
      <c r="I235" s="17"/>
      <c r="J235" s="17"/>
      <c r="K235" s="18" t="str">
        <f aca="false">IF(COUNT($G235:$I235)=0,"",SUM($G235:$I235))</f>
        <v/>
      </c>
      <c r="L235" s="15"/>
      <c r="M235" s="15"/>
      <c r="N235" s="15"/>
      <c r="O235" s="13" t="str">
        <f aca="false">IF(COUNTA($A235,$E235:$J235,$L235:$N235)=0,"",IF($A235="","Add Loan UID",IF(ISNA(MATCH($A235,'Loans (reference)'!$A$2:$A$500,0)),"UID not in Loans tab",IF($E235="","Add payment no.",IF(COUNTIFS($A$2:$A$300,$A235,$E$2:$E$300,$E235)&gt;1,"Duplicate payment no.",IF($F235="","Add payment date",IF(COUNT($G235:$I235)=0,"Add an amount","Ready")))))))</f>
        <v/>
      </c>
      <c r="P235" s="19"/>
      <c r="Q235" s="20"/>
    </row>
    <row r="236" customFormat="false" ht="15" hidden="false" customHeight="false" outlineLevel="0" collapsed="false">
      <c r="A236" s="12"/>
      <c r="B236" s="13" t="str">
        <f aca="false">IF($A236="","",IFERROR(INDEX('Loans (reference)'!$B$2:$B$500,MATCH($A236,'Loans (reference)'!$A$2:$A$500,0)),"not found"))</f>
        <v/>
      </c>
      <c r="C236" s="14" t="str">
        <f aca="false">IF($A236="","",IFERROR(INDEX('Loans (reference)'!$E$2:$E$500,MATCH($A236,'Loans (reference)'!$A$2:$A$500,0)),""))</f>
        <v/>
      </c>
      <c r="D236" s="13" t="str">
        <f aca="false">IF($A236="","",IFERROR(INDEX('Loans (reference)'!$K$2:$K$500,MATCH($A236,'Loans (reference)'!$A$2:$A$500,0)),""))</f>
        <v/>
      </c>
      <c r="E236" s="15"/>
      <c r="F236" s="16"/>
      <c r="G236" s="17"/>
      <c r="H236" s="17"/>
      <c r="I236" s="17"/>
      <c r="J236" s="17"/>
      <c r="K236" s="18" t="str">
        <f aca="false">IF(COUNT($G236:$I236)=0,"",SUM($G236:$I236))</f>
        <v/>
      </c>
      <c r="L236" s="15"/>
      <c r="M236" s="15"/>
      <c r="N236" s="15"/>
      <c r="O236" s="13" t="str">
        <f aca="false">IF(COUNTA($A236,$E236:$J236,$L236:$N236)=0,"",IF($A236="","Add Loan UID",IF(ISNA(MATCH($A236,'Loans (reference)'!$A$2:$A$500,0)),"UID not in Loans tab",IF($E236="","Add payment no.",IF(COUNTIFS($A$2:$A$300,$A236,$E$2:$E$300,$E236)&gt;1,"Duplicate payment no.",IF($F236="","Add payment date",IF(COUNT($G236:$I236)=0,"Add an amount","Ready")))))))</f>
        <v/>
      </c>
      <c r="P236" s="19"/>
      <c r="Q236" s="20"/>
    </row>
    <row r="237" customFormat="false" ht="15" hidden="false" customHeight="false" outlineLevel="0" collapsed="false">
      <c r="A237" s="12"/>
      <c r="B237" s="13" t="str">
        <f aca="false">IF($A237="","",IFERROR(INDEX('Loans (reference)'!$B$2:$B$500,MATCH($A237,'Loans (reference)'!$A$2:$A$500,0)),"not found"))</f>
        <v/>
      </c>
      <c r="C237" s="14" t="str">
        <f aca="false">IF($A237="","",IFERROR(INDEX('Loans (reference)'!$E$2:$E$500,MATCH($A237,'Loans (reference)'!$A$2:$A$500,0)),""))</f>
        <v/>
      </c>
      <c r="D237" s="13" t="str">
        <f aca="false">IF($A237="","",IFERROR(INDEX('Loans (reference)'!$K$2:$K$500,MATCH($A237,'Loans (reference)'!$A$2:$A$500,0)),""))</f>
        <v/>
      </c>
      <c r="E237" s="15"/>
      <c r="F237" s="16"/>
      <c r="G237" s="17"/>
      <c r="H237" s="17"/>
      <c r="I237" s="17"/>
      <c r="J237" s="17"/>
      <c r="K237" s="18" t="str">
        <f aca="false">IF(COUNT($G237:$I237)=0,"",SUM($G237:$I237))</f>
        <v/>
      </c>
      <c r="L237" s="15"/>
      <c r="M237" s="15"/>
      <c r="N237" s="15"/>
      <c r="O237" s="13" t="str">
        <f aca="false">IF(COUNTA($A237,$E237:$J237,$L237:$N237)=0,"",IF($A237="","Add Loan UID",IF(ISNA(MATCH($A237,'Loans (reference)'!$A$2:$A$500,0)),"UID not in Loans tab",IF($E237="","Add payment no.",IF(COUNTIFS($A$2:$A$300,$A237,$E$2:$E$300,$E237)&gt;1,"Duplicate payment no.",IF($F237="","Add payment date",IF(COUNT($G237:$I237)=0,"Add an amount","Ready")))))))</f>
        <v/>
      </c>
      <c r="P237" s="19"/>
      <c r="Q237" s="20"/>
    </row>
    <row r="238" customFormat="false" ht="15" hidden="false" customHeight="false" outlineLevel="0" collapsed="false">
      <c r="A238" s="12"/>
      <c r="B238" s="13" t="str">
        <f aca="false">IF($A238="","",IFERROR(INDEX('Loans (reference)'!$B$2:$B$500,MATCH($A238,'Loans (reference)'!$A$2:$A$500,0)),"not found"))</f>
        <v/>
      </c>
      <c r="C238" s="14" t="str">
        <f aca="false">IF($A238="","",IFERROR(INDEX('Loans (reference)'!$E$2:$E$500,MATCH($A238,'Loans (reference)'!$A$2:$A$500,0)),""))</f>
        <v/>
      </c>
      <c r="D238" s="13" t="str">
        <f aca="false">IF($A238="","",IFERROR(INDEX('Loans (reference)'!$K$2:$K$500,MATCH($A238,'Loans (reference)'!$A$2:$A$500,0)),""))</f>
        <v/>
      </c>
      <c r="E238" s="15"/>
      <c r="F238" s="16"/>
      <c r="G238" s="17"/>
      <c r="H238" s="17"/>
      <c r="I238" s="17"/>
      <c r="J238" s="17"/>
      <c r="K238" s="18" t="str">
        <f aca="false">IF(COUNT($G238:$I238)=0,"",SUM($G238:$I238))</f>
        <v/>
      </c>
      <c r="L238" s="15"/>
      <c r="M238" s="15"/>
      <c r="N238" s="15"/>
      <c r="O238" s="13" t="str">
        <f aca="false">IF(COUNTA($A238,$E238:$J238,$L238:$N238)=0,"",IF($A238="","Add Loan UID",IF(ISNA(MATCH($A238,'Loans (reference)'!$A$2:$A$500,0)),"UID not in Loans tab",IF($E238="","Add payment no.",IF(COUNTIFS($A$2:$A$300,$A238,$E$2:$E$300,$E238)&gt;1,"Duplicate payment no.",IF($F238="","Add payment date",IF(COUNT($G238:$I238)=0,"Add an amount","Ready")))))))</f>
        <v/>
      </c>
      <c r="P238" s="19"/>
      <c r="Q238" s="20"/>
    </row>
    <row r="239" customFormat="false" ht="15" hidden="false" customHeight="false" outlineLevel="0" collapsed="false">
      <c r="A239" s="12"/>
      <c r="B239" s="13" t="str">
        <f aca="false">IF($A239="","",IFERROR(INDEX('Loans (reference)'!$B$2:$B$500,MATCH($A239,'Loans (reference)'!$A$2:$A$500,0)),"not found"))</f>
        <v/>
      </c>
      <c r="C239" s="14" t="str">
        <f aca="false">IF($A239="","",IFERROR(INDEX('Loans (reference)'!$E$2:$E$500,MATCH($A239,'Loans (reference)'!$A$2:$A$500,0)),""))</f>
        <v/>
      </c>
      <c r="D239" s="13" t="str">
        <f aca="false">IF($A239="","",IFERROR(INDEX('Loans (reference)'!$K$2:$K$500,MATCH($A239,'Loans (reference)'!$A$2:$A$500,0)),""))</f>
        <v/>
      </c>
      <c r="E239" s="15"/>
      <c r="F239" s="16"/>
      <c r="G239" s="17"/>
      <c r="H239" s="17"/>
      <c r="I239" s="17"/>
      <c r="J239" s="17"/>
      <c r="K239" s="18" t="str">
        <f aca="false">IF(COUNT($G239:$I239)=0,"",SUM($G239:$I239))</f>
        <v/>
      </c>
      <c r="L239" s="15"/>
      <c r="M239" s="15"/>
      <c r="N239" s="15"/>
      <c r="O239" s="13" t="str">
        <f aca="false">IF(COUNTA($A239,$E239:$J239,$L239:$N239)=0,"",IF($A239="","Add Loan UID",IF(ISNA(MATCH($A239,'Loans (reference)'!$A$2:$A$500,0)),"UID not in Loans tab",IF($E239="","Add payment no.",IF(COUNTIFS($A$2:$A$300,$A239,$E$2:$E$300,$E239)&gt;1,"Duplicate payment no.",IF($F239="","Add payment date",IF(COUNT($G239:$I239)=0,"Add an amount","Ready")))))))</f>
        <v/>
      </c>
      <c r="P239" s="19"/>
      <c r="Q239" s="20"/>
    </row>
    <row r="240" customFormat="false" ht="15" hidden="false" customHeight="false" outlineLevel="0" collapsed="false">
      <c r="A240" s="12"/>
      <c r="B240" s="13" t="str">
        <f aca="false">IF($A240="","",IFERROR(INDEX('Loans (reference)'!$B$2:$B$500,MATCH($A240,'Loans (reference)'!$A$2:$A$500,0)),"not found"))</f>
        <v/>
      </c>
      <c r="C240" s="14" t="str">
        <f aca="false">IF($A240="","",IFERROR(INDEX('Loans (reference)'!$E$2:$E$500,MATCH($A240,'Loans (reference)'!$A$2:$A$500,0)),""))</f>
        <v/>
      </c>
      <c r="D240" s="13" t="str">
        <f aca="false">IF($A240="","",IFERROR(INDEX('Loans (reference)'!$K$2:$K$500,MATCH($A240,'Loans (reference)'!$A$2:$A$500,0)),""))</f>
        <v/>
      </c>
      <c r="E240" s="15"/>
      <c r="F240" s="16"/>
      <c r="G240" s="17"/>
      <c r="H240" s="17"/>
      <c r="I240" s="17"/>
      <c r="J240" s="17"/>
      <c r="K240" s="18" t="str">
        <f aca="false">IF(COUNT($G240:$I240)=0,"",SUM($G240:$I240))</f>
        <v/>
      </c>
      <c r="L240" s="15"/>
      <c r="M240" s="15"/>
      <c r="N240" s="15"/>
      <c r="O240" s="13" t="str">
        <f aca="false">IF(COUNTA($A240,$E240:$J240,$L240:$N240)=0,"",IF($A240="","Add Loan UID",IF(ISNA(MATCH($A240,'Loans (reference)'!$A$2:$A$500,0)),"UID not in Loans tab",IF($E240="","Add payment no.",IF(COUNTIFS($A$2:$A$300,$A240,$E$2:$E$300,$E240)&gt;1,"Duplicate payment no.",IF($F240="","Add payment date",IF(COUNT($G240:$I240)=0,"Add an amount","Ready")))))))</f>
        <v/>
      </c>
      <c r="P240" s="19"/>
      <c r="Q240" s="20"/>
    </row>
    <row r="241" customFormat="false" ht="15" hidden="false" customHeight="false" outlineLevel="0" collapsed="false">
      <c r="A241" s="12"/>
      <c r="B241" s="13" t="str">
        <f aca="false">IF($A241="","",IFERROR(INDEX('Loans (reference)'!$B$2:$B$500,MATCH($A241,'Loans (reference)'!$A$2:$A$500,0)),"not found"))</f>
        <v/>
      </c>
      <c r="C241" s="14" t="str">
        <f aca="false">IF($A241="","",IFERROR(INDEX('Loans (reference)'!$E$2:$E$500,MATCH($A241,'Loans (reference)'!$A$2:$A$500,0)),""))</f>
        <v/>
      </c>
      <c r="D241" s="13" t="str">
        <f aca="false">IF($A241="","",IFERROR(INDEX('Loans (reference)'!$K$2:$K$500,MATCH($A241,'Loans (reference)'!$A$2:$A$500,0)),""))</f>
        <v/>
      </c>
      <c r="E241" s="15"/>
      <c r="F241" s="16"/>
      <c r="G241" s="17"/>
      <c r="H241" s="17"/>
      <c r="I241" s="17"/>
      <c r="J241" s="17"/>
      <c r="K241" s="18" t="str">
        <f aca="false">IF(COUNT($G241:$I241)=0,"",SUM($G241:$I241))</f>
        <v/>
      </c>
      <c r="L241" s="15"/>
      <c r="M241" s="15"/>
      <c r="N241" s="15"/>
      <c r="O241" s="13" t="str">
        <f aca="false">IF(COUNTA($A241,$E241:$J241,$L241:$N241)=0,"",IF($A241="","Add Loan UID",IF(ISNA(MATCH($A241,'Loans (reference)'!$A$2:$A$500,0)),"UID not in Loans tab",IF($E241="","Add payment no.",IF(COUNTIFS($A$2:$A$300,$A241,$E$2:$E$300,$E241)&gt;1,"Duplicate payment no.",IF($F241="","Add payment date",IF(COUNT($G241:$I241)=0,"Add an amount","Ready")))))))</f>
        <v/>
      </c>
      <c r="P241" s="19"/>
      <c r="Q241" s="20"/>
    </row>
    <row r="242" customFormat="false" ht="15" hidden="false" customHeight="false" outlineLevel="0" collapsed="false">
      <c r="A242" s="12"/>
      <c r="B242" s="13" t="str">
        <f aca="false">IF($A242="","",IFERROR(INDEX('Loans (reference)'!$B$2:$B$500,MATCH($A242,'Loans (reference)'!$A$2:$A$500,0)),"not found"))</f>
        <v/>
      </c>
      <c r="C242" s="14" t="str">
        <f aca="false">IF($A242="","",IFERROR(INDEX('Loans (reference)'!$E$2:$E$500,MATCH($A242,'Loans (reference)'!$A$2:$A$500,0)),""))</f>
        <v/>
      </c>
      <c r="D242" s="13" t="str">
        <f aca="false">IF($A242="","",IFERROR(INDEX('Loans (reference)'!$K$2:$K$500,MATCH($A242,'Loans (reference)'!$A$2:$A$500,0)),""))</f>
        <v/>
      </c>
      <c r="E242" s="15"/>
      <c r="F242" s="16"/>
      <c r="G242" s="17"/>
      <c r="H242" s="17"/>
      <c r="I242" s="17"/>
      <c r="J242" s="17"/>
      <c r="K242" s="18" t="str">
        <f aca="false">IF(COUNT($G242:$I242)=0,"",SUM($G242:$I242))</f>
        <v/>
      </c>
      <c r="L242" s="15"/>
      <c r="M242" s="15"/>
      <c r="N242" s="15"/>
      <c r="O242" s="13" t="str">
        <f aca="false">IF(COUNTA($A242,$E242:$J242,$L242:$N242)=0,"",IF($A242="","Add Loan UID",IF(ISNA(MATCH($A242,'Loans (reference)'!$A$2:$A$500,0)),"UID not in Loans tab",IF($E242="","Add payment no.",IF(COUNTIFS($A$2:$A$300,$A242,$E$2:$E$300,$E242)&gt;1,"Duplicate payment no.",IF($F242="","Add payment date",IF(COUNT($G242:$I242)=0,"Add an amount","Ready")))))))</f>
        <v/>
      </c>
      <c r="P242" s="19"/>
      <c r="Q242" s="20"/>
    </row>
    <row r="243" customFormat="false" ht="15" hidden="false" customHeight="false" outlineLevel="0" collapsed="false">
      <c r="A243" s="12"/>
      <c r="B243" s="13" t="str">
        <f aca="false">IF($A243="","",IFERROR(INDEX('Loans (reference)'!$B$2:$B$500,MATCH($A243,'Loans (reference)'!$A$2:$A$500,0)),"not found"))</f>
        <v/>
      </c>
      <c r="C243" s="14" t="str">
        <f aca="false">IF($A243="","",IFERROR(INDEX('Loans (reference)'!$E$2:$E$500,MATCH($A243,'Loans (reference)'!$A$2:$A$500,0)),""))</f>
        <v/>
      </c>
      <c r="D243" s="13" t="str">
        <f aca="false">IF($A243="","",IFERROR(INDEX('Loans (reference)'!$K$2:$K$500,MATCH($A243,'Loans (reference)'!$A$2:$A$500,0)),""))</f>
        <v/>
      </c>
      <c r="E243" s="15"/>
      <c r="F243" s="16"/>
      <c r="G243" s="17"/>
      <c r="H243" s="17"/>
      <c r="I243" s="17"/>
      <c r="J243" s="17"/>
      <c r="K243" s="18" t="str">
        <f aca="false">IF(COUNT($G243:$I243)=0,"",SUM($G243:$I243))</f>
        <v/>
      </c>
      <c r="L243" s="15"/>
      <c r="M243" s="15"/>
      <c r="N243" s="15"/>
      <c r="O243" s="13" t="str">
        <f aca="false">IF(COUNTA($A243,$E243:$J243,$L243:$N243)=0,"",IF($A243="","Add Loan UID",IF(ISNA(MATCH($A243,'Loans (reference)'!$A$2:$A$500,0)),"UID not in Loans tab",IF($E243="","Add payment no.",IF(COUNTIFS($A$2:$A$300,$A243,$E$2:$E$300,$E243)&gt;1,"Duplicate payment no.",IF($F243="","Add payment date",IF(COUNT($G243:$I243)=0,"Add an amount","Ready")))))))</f>
        <v/>
      </c>
      <c r="P243" s="19"/>
      <c r="Q243" s="20"/>
    </row>
    <row r="244" customFormat="false" ht="15" hidden="false" customHeight="false" outlineLevel="0" collapsed="false">
      <c r="A244" s="12"/>
      <c r="B244" s="13" t="str">
        <f aca="false">IF($A244="","",IFERROR(INDEX('Loans (reference)'!$B$2:$B$500,MATCH($A244,'Loans (reference)'!$A$2:$A$500,0)),"not found"))</f>
        <v/>
      </c>
      <c r="C244" s="14" t="str">
        <f aca="false">IF($A244="","",IFERROR(INDEX('Loans (reference)'!$E$2:$E$500,MATCH($A244,'Loans (reference)'!$A$2:$A$500,0)),""))</f>
        <v/>
      </c>
      <c r="D244" s="13" t="str">
        <f aca="false">IF($A244="","",IFERROR(INDEX('Loans (reference)'!$K$2:$K$500,MATCH($A244,'Loans (reference)'!$A$2:$A$500,0)),""))</f>
        <v/>
      </c>
      <c r="E244" s="15"/>
      <c r="F244" s="16"/>
      <c r="G244" s="17"/>
      <c r="H244" s="17"/>
      <c r="I244" s="17"/>
      <c r="J244" s="17"/>
      <c r="K244" s="18" t="str">
        <f aca="false">IF(COUNT($G244:$I244)=0,"",SUM($G244:$I244))</f>
        <v/>
      </c>
      <c r="L244" s="15"/>
      <c r="M244" s="15"/>
      <c r="N244" s="15"/>
      <c r="O244" s="13" t="str">
        <f aca="false">IF(COUNTA($A244,$E244:$J244,$L244:$N244)=0,"",IF($A244="","Add Loan UID",IF(ISNA(MATCH($A244,'Loans (reference)'!$A$2:$A$500,0)),"UID not in Loans tab",IF($E244="","Add payment no.",IF(COUNTIFS($A$2:$A$300,$A244,$E$2:$E$300,$E244)&gt;1,"Duplicate payment no.",IF($F244="","Add payment date",IF(COUNT($G244:$I244)=0,"Add an amount","Ready")))))))</f>
        <v/>
      </c>
      <c r="P244" s="19"/>
      <c r="Q244" s="20"/>
    </row>
    <row r="245" customFormat="false" ht="15" hidden="false" customHeight="false" outlineLevel="0" collapsed="false">
      <c r="A245" s="12"/>
      <c r="B245" s="13" t="str">
        <f aca="false">IF($A245="","",IFERROR(INDEX('Loans (reference)'!$B$2:$B$500,MATCH($A245,'Loans (reference)'!$A$2:$A$500,0)),"not found"))</f>
        <v/>
      </c>
      <c r="C245" s="14" t="str">
        <f aca="false">IF($A245="","",IFERROR(INDEX('Loans (reference)'!$E$2:$E$500,MATCH($A245,'Loans (reference)'!$A$2:$A$500,0)),""))</f>
        <v/>
      </c>
      <c r="D245" s="13" t="str">
        <f aca="false">IF($A245="","",IFERROR(INDEX('Loans (reference)'!$K$2:$K$500,MATCH($A245,'Loans (reference)'!$A$2:$A$500,0)),""))</f>
        <v/>
      </c>
      <c r="E245" s="15"/>
      <c r="F245" s="16"/>
      <c r="G245" s="17"/>
      <c r="H245" s="17"/>
      <c r="I245" s="17"/>
      <c r="J245" s="17"/>
      <c r="K245" s="18" t="str">
        <f aca="false">IF(COUNT($G245:$I245)=0,"",SUM($G245:$I245))</f>
        <v/>
      </c>
      <c r="L245" s="15"/>
      <c r="M245" s="15"/>
      <c r="N245" s="15"/>
      <c r="O245" s="13" t="str">
        <f aca="false">IF(COUNTA($A245,$E245:$J245,$L245:$N245)=0,"",IF($A245="","Add Loan UID",IF(ISNA(MATCH($A245,'Loans (reference)'!$A$2:$A$500,0)),"UID not in Loans tab",IF($E245="","Add payment no.",IF(COUNTIFS($A$2:$A$300,$A245,$E$2:$E$300,$E245)&gt;1,"Duplicate payment no.",IF($F245="","Add payment date",IF(COUNT($G245:$I245)=0,"Add an amount","Ready")))))))</f>
        <v/>
      </c>
      <c r="P245" s="19"/>
      <c r="Q245" s="20"/>
    </row>
    <row r="246" customFormat="false" ht="15" hidden="false" customHeight="false" outlineLevel="0" collapsed="false">
      <c r="A246" s="12"/>
      <c r="B246" s="13" t="str">
        <f aca="false">IF($A246="","",IFERROR(INDEX('Loans (reference)'!$B$2:$B$500,MATCH($A246,'Loans (reference)'!$A$2:$A$500,0)),"not found"))</f>
        <v/>
      </c>
      <c r="C246" s="14" t="str">
        <f aca="false">IF($A246="","",IFERROR(INDEX('Loans (reference)'!$E$2:$E$500,MATCH($A246,'Loans (reference)'!$A$2:$A$500,0)),""))</f>
        <v/>
      </c>
      <c r="D246" s="13" t="str">
        <f aca="false">IF($A246="","",IFERROR(INDEX('Loans (reference)'!$K$2:$K$500,MATCH($A246,'Loans (reference)'!$A$2:$A$500,0)),""))</f>
        <v/>
      </c>
      <c r="E246" s="15"/>
      <c r="F246" s="16"/>
      <c r="G246" s="17"/>
      <c r="H246" s="17"/>
      <c r="I246" s="17"/>
      <c r="J246" s="17"/>
      <c r="K246" s="18" t="str">
        <f aca="false">IF(COUNT($G246:$I246)=0,"",SUM($G246:$I246))</f>
        <v/>
      </c>
      <c r="L246" s="15"/>
      <c r="M246" s="15"/>
      <c r="N246" s="15"/>
      <c r="O246" s="13" t="str">
        <f aca="false">IF(COUNTA($A246,$E246:$J246,$L246:$N246)=0,"",IF($A246="","Add Loan UID",IF(ISNA(MATCH($A246,'Loans (reference)'!$A$2:$A$500,0)),"UID not in Loans tab",IF($E246="","Add payment no.",IF(COUNTIFS($A$2:$A$300,$A246,$E$2:$E$300,$E246)&gt;1,"Duplicate payment no.",IF($F246="","Add payment date",IF(COUNT($G246:$I246)=0,"Add an amount","Ready")))))))</f>
        <v/>
      </c>
      <c r="P246" s="19"/>
      <c r="Q246" s="20"/>
    </row>
    <row r="247" customFormat="false" ht="15" hidden="false" customHeight="false" outlineLevel="0" collapsed="false">
      <c r="A247" s="12"/>
      <c r="B247" s="13" t="str">
        <f aca="false">IF($A247="","",IFERROR(INDEX('Loans (reference)'!$B$2:$B$500,MATCH($A247,'Loans (reference)'!$A$2:$A$500,0)),"not found"))</f>
        <v/>
      </c>
      <c r="C247" s="14" t="str">
        <f aca="false">IF($A247="","",IFERROR(INDEX('Loans (reference)'!$E$2:$E$500,MATCH($A247,'Loans (reference)'!$A$2:$A$500,0)),""))</f>
        <v/>
      </c>
      <c r="D247" s="13" t="str">
        <f aca="false">IF($A247="","",IFERROR(INDEX('Loans (reference)'!$K$2:$K$500,MATCH($A247,'Loans (reference)'!$A$2:$A$500,0)),""))</f>
        <v/>
      </c>
      <c r="E247" s="15"/>
      <c r="F247" s="16"/>
      <c r="G247" s="17"/>
      <c r="H247" s="17"/>
      <c r="I247" s="17"/>
      <c r="J247" s="17"/>
      <c r="K247" s="18" t="str">
        <f aca="false">IF(COUNT($G247:$I247)=0,"",SUM($G247:$I247))</f>
        <v/>
      </c>
      <c r="L247" s="15"/>
      <c r="M247" s="15"/>
      <c r="N247" s="15"/>
      <c r="O247" s="13" t="str">
        <f aca="false">IF(COUNTA($A247,$E247:$J247,$L247:$N247)=0,"",IF($A247="","Add Loan UID",IF(ISNA(MATCH($A247,'Loans (reference)'!$A$2:$A$500,0)),"UID not in Loans tab",IF($E247="","Add payment no.",IF(COUNTIFS($A$2:$A$300,$A247,$E$2:$E$300,$E247)&gt;1,"Duplicate payment no.",IF($F247="","Add payment date",IF(COUNT($G247:$I247)=0,"Add an amount","Ready")))))))</f>
        <v/>
      </c>
      <c r="P247" s="19"/>
      <c r="Q247" s="20"/>
    </row>
    <row r="248" customFormat="false" ht="15" hidden="false" customHeight="false" outlineLevel="0" collapsed="false">
      <c r="A248" s="12"/>
      <c r="B248" s="13" t="str">
        <f aca="false">IF($A248="","",IFERROR(INDEX('Loans (reference)'!$B$2:$B$500,MATCH($A248,'Loans (reference)'!$A$2:$A$500,0)),"not found"))</f>
        <v/>
      </c>
      <c r="C248" s="14" t="str">
        <f aca="false">IF($A248="","",IFERROR(INDEX('Loans (reference)'!$E$2:$E$500,MATCH($A248,'Loans (reference)'!$A$2:$A$500,0)),""))</f>
        <v/>
      </c>
      <c r="D248" s="13" t="str">
        <f aca="false">IF($A248="","",IFERROR(INDEX('Loans (reference)'!$K$2:$K$500,MATCH($A248,'Loans (reference)'!$A$2:$A$500,0)),""))</f>
        <v/>
      </c>
      <c r="E248" s="15"/>
      <c r="F248" s="16"/>
      <c r="G248" s="17"/>
      <c r="H248" s="17"/>
      <c r="I248" s="17"/>
      <c r="J248" s="17"/>
      <c r="K248" s="18" t="str">
        <f aca="false">IF(COUNT($G248:$I248)=0,"",SUM($G248:$I248))</f>
        <v/>
      </c>
      <c r="L248" s="15"/>
      <c r="M248" s="15"/>
      <c r="N248" s="15"/>
      <c r="O248" s="13" t="str">
        <f aca="false">IF(COUNTA($A248,$E248:$J248,$L248:$N248)=0,"",IF($A248="","Add Loan UID",IF(ISNA(MATCH($A248,'Loans (reference)'!$A$2:$A$500,0)),"UID not in Loans tab",IF($E248="","Add payment no.",IF(COUNTIFS($A$2:$A$300,$A248,$E$2:$E$300,$E248)&gt;1,"Duplicate payment no.",IF($F248="","Add payment date",IF(COUNT($G248:$I248)=0,"Add an amount","Ready")))))))</f>
        <v/>
      </c>
      <c r="P248" s="19"/>
      <c r="Q248" s="20"/>
    </row>
    <row r="249" customFormat="false" ht="15" hidden="false" customHeight="false" outlineLevel="0" collapsed="false">
      <c r="A249" s="12"/>
      <c r="B249" s="13" t="str">
        <f aca="false">IF($A249="","",IFERROR(INDEX('Loans (reference)'!$B$2:$B$500,MATCH($A249,'Loans (reference)'!$A$2:$A$500,0)),"not found"))</f>
        <v/>
      </c>
      <c r="C249" s="14" t="str">
        <f aca="false">IF($A249="","",IFERROR(INDEX('Loans (reference)'!$E$2:$E$500,MATCH($A249,'Loans (reference)'!$A$2:$A$500,0)),""))</f>
        <v/>
      </c>
      <c r="D249" s="13" t="str">
        <f aca="false">IF($A249="","",IFERROR(INDEX('Loans (reference)'!$K$2:$K$500,MATCH($A249,'Loans (reference)'!$A$2:$A$500,0)),""))</f>
        <v/>
      </c>
      <c r="E249" s="15"/>
      <c r="F249" s="16"/>
      <c r="G249" s="17"/>
      <c r="H249" s="17"/>
      <c r="I249" s="17"/>
      <c r="J249" s="17"/>
      <c r="K249" s="18" t="str">
        <f aca="false">IF(COUNT($G249:$I249)=0,"",SUM($G249:$I249))</f>
        <v/>
      </c>
      <c r="L249" s="15"/>
      <c r="M249" s="15"/>
      <c r="N249" s="15"/>
      <c r="O249" s="13" t="str">
        <f aca="false">IF(COUNTA($A249,$E249:$J249,$L249:$N249)=0,"",IF($A249="","Add Loan UID",IF(ISNA(MATCH($A249,'Loans (reference)'!$A$2:$A$500,0)),"UID not in Loans tab",IF($E249="","Add payment no.",IF(COUNTIFS($A$2:$A$300,$A249,$E$2:$E$300,$E249)&gt;1,"Duplicate payment no.",IF($F249="","Add payment date",IF(COUNT($G249:$I249)=0,"Add an amount","Ready")))))))</f>
        <v/>
      </c>
      <c r="P249" s="19"/>
      <c r="Q249" s="20"/>
    </row>
    <row r="250" customFormat="false" ht="15" hidden="false" customHeight="false" outlineLevel="0" collapsed="false">
      <c r="A250" s="12"/>
      <c r="B250" s="13" t="str">
        <f aca="false">IF($A250="","",IFERROR(INDEX('Loans (reference)'!$B$2:$B$500,MATCH($A250,'Loans (reference)'!$A$2:$A$500,0)),"not found"))</f>
        <v/>
      </c>
      <c r="C250" s="14" t="str">
        <f aca="false">IF($A250="","",IFERROR(INDEX('Loans (reference)'!$E$2:$E$500,MATCH($A250,'Loans (reference)'!$A$2:$A$500,0)),""))</f>
        <v/>
      </c>
      <c r="D250" s="13" t="str">
        <f aca="false">IF($A250="","",IFERROR(INDEX('Loans (reference)'!$K$2:$K$500,MATCH($A250,'Loans (reference)'!$A$2:$A$500,0)),""))</f>
        <v/>
      </c>
      <c r="E250" s="15"/>
      <c r="F250" s="16"/>
      <c r="G250" s="17"/>
      <c r="H250" s="17"/>
      <c r="I250" s="17"/>
      <c r="J250" s="17"/>
      <c r="K250" s="18" t="str">
        <f aca="false">IF(COUNT($G250:$I250)=0,"",SUM($G250:$I250))</f>
        <v/>
      </c>
      <c r="L250" s="15"/>
      <c r="M250" s="15"/>
      <c r="N250" s="15"/>
      <c r="O250" s="13" t="str">
        <f aca="false">IF(COUNTA($A250,$E250:$J250,$L250:$N250)=0,"",IF($A250="","Add Loan UID",IF(ISNA(MATCH($A250,'Loans (reference)'!$A$2:$A$500,0)),"UID not in Loans tab",IF($E250="","Add payment no.",IF(COUNTIFS($A$2:$A$300,$A250,$E$2:$E$300,$E250)&gt;1,"Duplicate payment no.",IF($F250="","Add payment date",IF(COUNT($G250:$I250)=0,"Add an amount","Ready")))))))</f>
        <v/>
      </c>
      <c r="P250" s="19"/>
      <c r="Q250" s="20"/>
    </row>
    <row r="251" customFormat="false" ht="15" hidden="false" customHeight="false" outlineLevel="0" collapsed="false">
      <c r="A251" s="12"/>
      <c r="B251" s="13" t="str">
        <f aca="false">IF($A251="","",IFERROR(INDEX('Loans (reference)'!$B$2:$B$500,MATCH($A251,'Loans (reference)'!$A$2:$A$500,0)),"not found"))</f>
        <v/>
      </c>
      <c r="C251" s="14" t="str">
        <f aca="false">IF($A251="","",IFERROR(INDEX('Loans (reference)'!$E$2:$E$500,MATCH($A251,'Loans (reference)'!$A$2:$A$500,0)),""))</f>
        <v/>
      </c>
      <c r="D251" s="13" t="str">
        <f aca="false">IF($A251="","",IFERROR(INDEX('Loans (reference)'!$K$2:$K$500,MATCH($A251,'Loans (reference)'!$A$2:$A$500,0)),""))</f>
        <v/>
      </c>
      <c r="E251" s="15"/>
      <c r="F251" s="16"/>
      <c r="G251" s="17"/>
      <c r="H251" s="17"/>
      <c r="I251" s="17"/>
      <c r="J251" s="17"/>
      <c r="K251" s="18" t="str">
        <f aca="false">IF(COUNT($G251:$I251)=0,"",SUM($G251:$I251))</f>
        <v/>
      </c>
      <c r="L251" s="15"/>
      <c r="M251" s="15"/>
      <c r="N251" s="15"/>
      <c r="O251" s="13" t="str">
        <f aca="false">IF(COUNTA($A251,$E251:$J251,$L251:$N251)=0,"",IF($A251="","Add Loan UID",IF(ISNA(MATCH($A251,'Loans (reference)'!$A$2:$A$500,0)),"UID not in Loans tab",IF($E251="","Add payment no.",IF(COUNTIFS($A$2:$A$300,$A251,$E$2:$E$300,$E251)&gt;1,"Duplicate payment no.",IF($F251="","Add payment date",IF(COUNT($G251:$I251)=0,"Add an amount","Ready")))))))</f>
        <v/>
      </c>
      <c r="P251" s="19"/>
      <c r="Q251" s="20"/>
    </row>
    <row r="252" customFormat="false" ht="15" hidden="false" customHeight="false" outlineLevel="0" collapsed="false">
      <c r="A252" s="12"/>
      <c r="B252" s="13" t="str">
        <f aca="false">IF($A252="","",IFERROR(INDEX('Loans (reference)'!$B$2:$B$500,MATCH($A252,'Loans (reference)'!$A$2:$A$500,0)),"not found"))</f>
        <v/>
      </c>
      <c r="C252" s="14" t="str">
        <f aca="false">IF($A252="","",IFERROR(INDEX('Loans (reference)'!$E$2:$E$500,MATCH($A252,'Loans (reference)'!$A$2:$A$500,0)),""))</f>
        <v/>
      </c>
      <c r="D252" s="13" t="str">
        <f aca="false">IF($A252="","",IFERROR(INDEX('Loans (reference)'!$K$2:$K$500,MATCH($A252,'Loans (reference)'!$A$2:$A$500,0)),""))</f>
        <v/>
      </c>
      <c r="E252" s="15"/>
      <c r="F252" s="16"/>
      <c r="G252" s="17"/>
      <c r="H252" s="17"/>
      <c r="I252" s="17"/>
      <c r="J252" s="17"/>
      <c r="K252" s="18" t="str">
        <f aca="false">IF(COUNT($G252:$I252)=0,"",SUM($G252:$I252))</f>
        <v/>
      </c>
      <c r="L252" s="15"/>
      <c r="M252" s="15"/>
      <c r="N252" s="15"/>
      <c r="O252" s="13" t="str">
        <f aca="false">IF(COUNTA($A252,$E252:$J252,$L252:$N252)=0,"",IF($A252="","Add Loan UID",IF(ISNA(MATCH($A252,'Loans (reference)'!$A$2:$A$500,0)),"UID not in Loans tab",IF($E252="","Add payment no.",IF(COUNTIFS($A$2:$A$300,$A252,$E$2:$E$300,$E252)&gt;1,"Duplicate payment no.",IF($F252="","Add payment date",IF(COUNT($G252:$I252)=0,"Add an amount","Ready")))))))</f>
        <v/>
      </c>
      <c r="P252" s="19"/>
      <c r="Q252" s="20"/>
    </row>
    <row r="253" customFormat="false" ht="15" hidden="false" customHeight="false" outlineLevel="0" collapsed="false">
      <c r="A253" s="12"/>
      <c r="B253" s="13" t="str">
        <f aca="false">IF($A253="","",IFERROR(INDEX('Loans (reference)'!$B$2:$B$500,MATCH($A253,'Loans (reference)'!$A$2:$A$500,0)),"not found"))</f>
        <v/>
      </c>
      <c r="C253" s="14" t="str">
        <f aca="false">IF($A253="","",IFERROR(INDEX('Loans (reference)'!$E$2:$E$500,MATCH($A253,'Loans (reference)'!$A$2:$A$500,0)),""))</f>
        <v/>
      </c>
      <c r="D253" s="13" t="str">
        <f aca="false">IF($A253="","",IFERROR(INDEX('Loans (reference)'!$K$2:$K$500,MATCH($A253,'Loans (reference)'!$A$2:$A$500,0)),""))</f>
        <v/>
      </c>
      <c r="E253" s="15"/>
      <c r="F253" s="16"/>
      <c r="G253" s="17"/>
      <c r="H253" s="17"/>
      <c r="I253" s="17"/>
      <c r="J253" s="17"/>
      <c r="K253" s="18" t="str">
        <f aca="false">IF(COUNT($G253:$I253)=0,"",SUM($G253:$I253))</f>
        <v/>
      </c>
      <c r="L253" s="15"/>
      <c r="M253" s="15"/>
      <c r="N253" s="15"/>
      <c r="O253" s="13" t="str">
        <f aca="false">IF(COUNTA($A253,$E253:$J253,$L253:$N253)=0,"",IF($A253="","Add Loan UID",IF(ISNA(MATCH($A253,'Loans (reference)'!$A$2:$A$500,0)),"UID not in Loans tab",IF($E253="","Add payment no.",IF(COUNTIFS($A$2:$A$300,$A253,$E$2:$E$300,$E253)&gt;1,"Duplicate payment no.",IF($F253="","Add payment date",IF(COUNT($G253:$I253)=0,"Add an amount","Ready")))))))</f>
        <v/>
      </c>
      <c r="P253" s="19"/>
      <c r="Q253" s="20"/>
    </row>
    <row r="254" customFormat="false" ht="15" hidden="false" customHeight="false" outlineLevel="0" collapsed="false">
      <c r="A254" s="12"/>
      <c r="B254" s="13" t="str">
        <f aca="false">IF($A254="","",IFERROR(INDEX('Loans (reference)'!$B$2:$B$500,MATCH($A254,'Loans (reference)'!$A$2:$A$500,0)),"not found"))</f>
        <v/>
      </c>
      <c r="C254" s="14" t="str">
        <f aca="false">IF($A254="","",IFERROR(INDEX('Loans (reference)'!$E$2:$E$500,MATCH($A254,'Loans (reference)'!$A$2:$A$500,0)),""))</f>
        <v/>
      </c>
      <c r="D254" s="13" t="str">
        <f aca="false">IF($A254="","",IFERROR(INDEX('Loans (reference)'!$K$2:$K$500,MATCH($A254,'Loans (reference)'!$A$2:$A$500,0)),""))</f>
        <v/>
      </c>
      <c r="E254" s="15"/>
      <c r="F254" s="16"/>
      <c r="G254" s="17"/>
      <c r="H254" s="17"/>
      <c r="I254" s="17"/>
      <c r="J254" s="17"/>
      <c r="K254" s="18" t="str">
        <f aca="false">IF(COUNT($G254:$I254)=0,"",SUM($G254:$I254))</f>
        <v/>
      </c>
      <c r="L254" s="15"/>
      <c r="M254" s="15"/>
      <c r="N254" s="15"/>
      <c r="O254" s="13" t="str">
        <f aca="false">IF(COUNTA($A254,$E254:$J254,$L254:$N254)=0,"",IF($A254="","Add Loan UID",IF(ISNA(MATCH($A254,'Loans (reference)'!$A$2:$A$500,0)),"UID not in Loans tab",IF($E254="","Add payment no.",IF(COUNTIFS($A$2:$A$300,$A254,$E$2:$E$300,$E254)&gt;1,"Duplicate payment no.",IF($F254="","Add payment date",IF(COUNT($G254:$I254)=0,"Add an amount","Ready")))))))</f>
        <v/>
      </c>
      <c r="P254" s="19"/>
      <c r="Q254" s="20"/>
    </row>
    <row r="255" customFormat="false" ht="15" hidden="false" customHeight="false" outlineLevel="0" collapsed="false">
      <c r="A255" s="12"/>
      <c r="B255" s="13" t="str">
        <f aca="false">IF($A255="","",IFERROR(INDEX('Loans (reference)'!$B$2:$B$500,MATCH($A255,'Loans (reference)'!$A$2:$A$500,0)),"not found"))</f>
        <v/>
      </c>
      <c r="C255" s="14" t="str">
        <f aca="false">IF($A255="","",IFERROR(INDEX('Loans (reference)'!$E$2:$E$500,MATCH($A255,'Loans (reference)'!$A$2:$A$500,0)),""))</f>
        <v/>
      </c>
      <c r="D255" s="13" t="str">
        <f aca="false">IF($A255="","",IFERROR(INDEX('Loans (reference)'!$K$2:$K$500,MATCH($A255,'Loans (reference)'!$A$2:$A$500,0)),""))</f>
        <v/>
      </c>
      <c r="E255" s="15"/>
      <c r="F255" s="16"/>
      <c r="G255" s="17"/>
      <c r="H255" s="17"/>
      <c r="I255" s="17"/>
      <c r="J255" s="17"/>
      <c r="K255" s="18" t="str">
        <f aca="false">IF(COUNT($G255:$I255)=0,"",SUM($G255:$I255))</f>
        <v/>
      </c>
      <c r="L255" s="15"/>
      <c r="M255" s="15"/>
      <c r="N255" s="15"/>
      <c r="O255" s="13" t="str">
        <f aca="false">IF(COUNTA($A255,$E255:$J255,$L255:$N255)=0,"",IF($A255="","Add Loan UID",IF(ISNA(MATCH($A255,'Loans (reference)'!$A$2:$A$500,0)),"UID not in Loans tab",IF($E255="","Add payment no.",IF(COUNTIFS($A$2:$A$300,$A255,$E$2:$E$300,$E255)&gt;1,"Duplicate payment no.",IF($F255="","Add payment date",IF(COUNT($G255:$I255)=0,"Add an amount","Ready")))))))</f>
        <v/>
      </c>
      <c r="P255" s="19"/>
      <c r="Q255" s="20"/>
    </row>
    <row r="256" customFormat="false" ht="15" hidden="false" customHeight="false" outlineLevel="0" collapsed="false">
      <c r="A256" s="12"/>
      <c r="B256" s="13" t="str">
        <f aca="false">IF($A256="","",IFERROR(INDEX('Loans (reference)'!$B$2:$B$500,MATCH($A256,'Loans (reference)'!$A$2:$A$500,0)),"not found"))</f>
        <v/>
      </c>
      <c r="C256" s="14" t="str">
        <f aca="false">IF($A256="","",IFERROR(INDEX('Loans (reference)'!$E$2:$E$500,MATCH($A256,'Loans (reference)'!$A$2:$A$500,0)),""))</f>
        <v/>
      </c>
      <c r="D256" s="13" t="str">
        <f aca="false">IF($A256="","",IFERROR(INDEX('Loans (reference)'!$K$2:$K$500,MATCH($A256,'Loans (reference)'!$A$2:$A$500,0)),""))</f>
        <v/>
      </c>
      <c r="E256" s="15"/>
      <c r="F256" s="16"/>
      <c r="G256" s="17"/>
      <c r="H256" s="17"/>
      <c r="I256" s="17"/>
      <c r="J256" s="17"/>
      <c r="K256" s="18" t="str">
        <f aca="false">IF(COUNT($G256:$I256)=0,"",SUM($G256:$I256))</f>
        <v/>
      </c>
      <c r="L256" s="15"/>
      <c r="M256" s="15"/>
      <c r="N256" s="15"/>
      <c r="O256" s="13" t="str">
        <f aca="false">IF(COUNTA($A256,$E256:$J256,$L256:$N256)=0,"",IF($A256="","Add Loan UID",IF(ISNA(MATCH($A256,'Loans (reference)'!$A$2:$A$500,0)),"UID not in Loans tab",IF($E256="","Add payment no.",IF(COUNTIFS($A$2:$A$300,$A256,$E$2:$E$300,$E256)&gt;1,"Duplicate payment no.",IF($F256="","Add payment date",IF(COUNT($G256:$I256)=0,"Add an amount","Ready")))))))</f>
        <v/>
      </c>
      <c r="P256" s="19"/>
      <c r="Q256" s="20"/>
    </row>
    <row r="257" customFormat="false" ht="15" hidden="false" customHeight="false" outlineLevel="0" collapsed="false">
      <c r="A257" s="12"/>
      <c r="B257" s="13" t="str">
        <f aca="false">IF($A257="","",IFERROR(INDEX('Loans (reference)'!$B$2:$B$500,MATCH($A257,'Loans (reference)'!$A$2:$A$500,0)),"not found"))</f>
        <v/>
      </c>
      <c r="C257" s="14" t="str">
        <f aca="false">IF($A257="","",IFERROR(INDEX('Loans (reference)'!$E$2:$E$500,MATCH($A257,'Loans (reference)'!$A$2:$A$500,0)),""))</f>
        <v/>
      </c>
      <c r="D257" s="13" t="str">
        <f aca="false">IF($A257="","",IFERROR(INDEX('Loans (reference)'!$K$2:$K$500,MATCH($A257,'Loans (reference)'!$A$2:$A$500,0)),""))</f>
        <v/>
      </c>
      <c r="E257" s="15"/>
      <c r="F257" s="16"/>
      <c r="G257" s="17"/>
      <c r="H257" s="17"/>
      <c r="I257" s="17"/>
      <c r="J257" s="17"/>
      <c r="K257" s="18" t="str">
        <f aca="false">IF(COUNT($G257:$I257)=0,"",SUM($G257:$I257))</f>
        <v/>
      </c>
      <c r="L257" s="15"/>
      <c r="M257" s="15"/>
      <c r="N257" s="15"/>
      <c r="O257" s="13" t="str">
        <f aca="false">IF(COUNTA($A257,$E257:$J257,$L257:$N257)=0,"",IF($A257="","Add Loan UID",IF(ISNA(MATCH($A257,'Loans (reference)'!$A$2:$A$500,0)),"UID not in Loans tab",IF($E257="","Add payment no.",IF(COUNTIFS($A$2:$A$300,$A257,$E$2:$E$300,$E257)&gt;1,"Duplicate payment no.",IF($F257="","Add payment date",IF(COUNT($G257:$I257)=0,"Add an amount","Ready")))))))</f>
        <v/>
      </c>
      <c r="P257" s="19"/>
      <c r="Q257" s="20"/>
    </row>
    <row r="258" customFormat="false" ht="15" hidden="false" customHeight="false" outlineLevel="0" collapsed="false">
      <c r="A258" s="12"/>
      <c r="B258" s="13" t="str">
        <f aca="false">IF($A258="","",IFERROR(INDEX('Loans (reference)'!$B$2:$B$500,MATCH($A258,'Loans (reference)'!$A$2:$A$500,0)),"not found"))</f>
        <v/>
      </c>
      <c r="C258" s="14" t="str">
        <f aca="false">IF($A258="","",IFERROR(INDEX('Loans (reference)'!$E$2:$E$500,MATCH($A258,'Loans (reference)'!$A$2:$A$500,0)),""))</f>
        <v/>
      </c>
      <c r="D258" s="13" t="str">
        <f aca="false">IF($A258="","",IFERROR(INDEX('Loans (reference)'!$K$2:$K$500,MATCH($A258,'Loans (reference)'!$A$2:$A$500,0)),""))</f>
        <v/>
      </c>
      <c r="E258" s="15"/>
      <c r="F258" s="16"/>
      <c r="G258" s="17"/>
      <c r="H258" s="17"/>
      <c r="I258" s="17"/>
      <c r="J258" s="17"/>
      <c r="K258" s="18" t="str">
        <f aca="false">IF(COUNT($G258:$I258)=0,"",SUM($G258:$I258))</f>
        <v/>
      </c>
      <c r="L258" s="15"/>
      <c r="M258" s="15"/>
      <c r="N258" s="15"/>
      <c r="O258" s="13" t="str">
        <f aca="false">IF(COUNTA($A258,$E258:$J258,$L258:$N258)=0,"",IF($A258="","Add Loan UID",IF(ISNA(MATCH($A258,'Loans (reference)'!$A$2:$A$500,0)),"UID not in Loans tab",IF($E258="","Add payment no.",IF(COUNTIFS($A$2:$A$300,$A258,$E$2:$E$300,$E258)&gt;1,"Duplicate payment no.",IF($F258="","Add payment date",IF(COUNT($G258:$I258)=0,"Add an amount","Ready")))))))</f>
        <v/>
      </c>
      <c r="P258" s="19"/>
      <c r="Q258" s="20"/>
    </row>
    <row r="259" customFormat="false" ht="15" hidden="false" customHeight="false" outlineLevel="0" collapsed="false">
      <c r="A259" s="12"/>
      <c r="B259" s="13" t="str">
        <f aca="false">IF($A259="","",IFERROR(INDEX('Loans (reference)'!$B$2:$B$500,MATCH($A259,'Loans (reference)'!$A$2:$A$500,0)),"not found"))</f>
        <v/>
      </c>
      <c r="C259" s="14" t="str">
        <f aca="false">IF($A259="","",IFERROR(INDEX('Loans (reference)'!$E$2:$E$500,MATCH($A259,'Loans (reference)'!$A$2:$A$500,0)),""))</f>
        <v/>
      </c>
      <c r="D259" s="13" t="str">
        <f aca="false">IF($A259="","",IFERROR(INDEX('Loans (reference)'!$K$2:$K$500,MATCH($A259,'Loans (reference)'!$A$2:$A$500,0)),""))</f>
        <v/>
      </c>
      <c r="E259" s="15"/>
      <c r="F259" s="16"/>
      <c r="G259" s="17"/>
      <c r="H259" s="17"/>
      <c r="I259" s="17"/>
      <c r="J259" s="17"/>
      <c r="K259" s="18" t="str">
        <f aca="false">IF(COUNT($G259:$I259)=0,"",SUM($G259:$I259))</f>
        <v/>
      </c>
      <c r="L259" s="15"/>
      <c r="M259" s="15"/>
      <c r="N259" s="15"/>
      <c r="O259" s="13" t="str">
        <f aca="false">IF(COUNTA($A259,$E259:$J259,$L259:$N259)=0,"",IF($A259="","Add Loan UID",IF(ISNA(MATCH($A259,'Loans (reference)'!$A$2:$A$500,0)),"UID not in Loans tab",IF($E259="","Add payment no.",IF(COUNTIFS($A$2:$A$300,$A259,$E$2:$E$300,$E259)&gt;1,"Duplicate payment no.",IF($F259="","Add payment date",IF(COUNT($G259:$I259)=0,"Add an amount","Ready")))))))</f>
        <v/>
      </c>
      <c r="P259" s="19"/>
      <c r="Q259" s="20"/>
    </row>
    <row r="260" customFormat="false" ht="15" hidden="false" customHeight="false" outlineLevel="0" collapsed="false">
      <c r="A260" s="12"/>
      <c r="B260" s="13" t="str">
        <f aca="false">IF($A260="","",IFERROR(INDEX('Loans (reference)'!$B$2:$B$500,MATCH($A260,'Loans (reference)'!$A$2:$A$500,0)),"not found"))</f>
        <v/>
      </c>
      <c r="C260" s="14" t="str">
        <f aca="false">IF($A260="","",IFERROR(INDEX('Loans (reference)'!$E$2:$E$500,MATCH($A260,'Loans (reference)'!$A$2:$A$500,0)),""))</f>
        <v/>
      </c>
      <c r="D260" s="13" t="str">
        <f aca="false">IF($A260="","",IFERROR(INDEX('Loans (reference)'!$K$2:$K$500,MATCH($A260,'Loans (reference)'!$A$2:$A$500,0)),""))</f>
        <v/>
      </c>
      <c r="E260" s="15"/>
      <c r="F260" s="16"/>
      <c r="G260" s="17"/>
      <c r="H260" s="17"/>
      <c r="I260" s="17"/>
      <c r="J260" s="17"/>
      <c r="K260" s="18" t="str">
        <f aca="false">IF(COUNT($G260:$I260)=0,"",SUM($G260:$I260))</f>
        <v/>
      </c>
      <c r="L260" s="15"/>
      <c r="M260" s="15"/>
      <c r="N260" s="15"/>
      <c r="O260" s="13" t="str">
        <f aca="false">IF(COUNTA($A260,$E260:$J260,$L260:$N260)=0,"",IF($A260="","Add Loan UID",IF(ISNA(MATCH($A260,'Loans (reference)'!$A$2:$A$500,0)),"UID not in Loans tab",IF($E260="","Add payment no.",IF(COUNTIFS($A$2:$A$300,$A260,$E$2:$E$300,$E260)&gt;1,"Duplicate payment no.",IF($F260="","Add payment date",IF(COUNT($G260:$I260)=0,"Add an amount","Ready")))))))</f>
        <v/>
      </c>
      <c r="P260" s="19"/>
      <c r="Q260" s="20"/>
    </row>
    <row r="261" customFormat="false" ht="15" hidden="false" customHeight="false" outlineLevel="0" collapsed="false">
      <c r="A261" s="12"/>
      <c r="B261" s="13" t="str">
        <f aca="false">IF($A261="","",IFERROR(INDEX('Loans (reference)'!$B$2:$B$500,MATCH($A261,'Loans (reference)'!$A$2:$A$500,0)),"not found"))</f>
        <v/>
      </c>
      <c r="C261" s="14" t="str">
        <f aca="false">IF($A261="","",IFERROR(INDEX('Loans (reference)'!$E$2:$E$500,MATCH($A261,'Loans (reference)'!$A$2:$A$500,0)),""))</f>
        <v/>
      </c>
      <c r="D261" s="13" t="str">
        <f aca="false">IF($A261="","",IFERROR(INDEX('Loans (reference)'!$K$2:$K$500,MATCH($A261,'Loans (reference)'!$A$2:$A$500,0)),""))</f>
        <v/>
      </c>
      <c r="E261" s="15"/>
      <c r="F261" s="16"/>
      <c r="G261" s="17"/>
      <c r="H261" s="17"/>
      <c r="I261" s="17"/>
      <c r="J261" s="17"/>
      <c r="K261" s="18" t="str">
        <f aca="false">IF(COUNT($G261:$I261)=0,"",SUM($G261:$I261))</f>
        <v/>
      </c>
      <c r="L261" s="15"/>
      <c r="M261" s="15"/>
      <c r="N261" s="15"/>
      <c r="O261" s="13" t="str">
        <f aca="false">IF(COUNTA($A261,$E261:$J261,$L261:$N261)=0,"",IF($A261="","Add Loan UID",IF(ISNA(MATCH($A261,'Loans (reference)'!$A$2:$A$500,0)),"UID not in Loans tab",IF($E261="","Add payment no.",IF(COUNTIFS($A$2:$A$300,$A261,$E$2:$E$300,$E261)&gt;1,"Duplicate payment no.",IF($F261="","Add payment date",IF(COUNT($G261:$I261)=0,"Add an amount","Ready")))))))</f>
        <v/>
      </c>
      <c r="P261" s="19"/>
      <c r="Q261" s="20"/>
    </row>
    <row r="262" customFormat="false" ht="15" hidden="false" customHeight="false" outlineLevel="0" collapsed="false">
      <c r="A262" s="12"/>
      <c r="B262" s="13" t="str">
        <f aca="false">IF($A262="","",IFERROR(INDEX('Loans (reference)'!$B$2:$B$500,MATCH($A262,'Loans (reference)'!$A$2:$A$500,0)),"not found"))</f>
        <v/>
      </c>
      <c r="C262" s="14" t="str">
        <f aca="false">IF($A262="","",IFERROR(INDEX('Loans (reference)'!$E$2:$E$500,MATCH($A262,'Loans (reference)'!$A$2:$A$500,0)),""))</f>
        <v/>
      </c>
      <c r="D262" s="13" t="str">
        <f aca="false">IF($A262="","",IFERROR(INDEX('Loans (reference)'!$K$2:$K$500,MATCH($A262,'Loans (reference)'!$A$2:$A$500,0)),""))</f>
        <v/>
      </c>
      <c r="E262" s="15"/>
      <c r="F262" s="16"/>
      <c r="G262" s="17"/>
      <c r="H262" s="17"/>
      <c r="I262" s="17"/>
      <c r="J262" s="17"/>
      <c r="K262" s="18" t="str">
        <f aca="false">IF(COUNT($G262:$I262)=0,"",SUM($G262:$I262))</f>
        <v/>
      </c>
      <c r="L262" s="15"/>
      <c r="M262" s="15"/>
      <c r="N262" s="15"/>
      <c r="O262" s="13" t="str">
        <f aca="false">IF(COUNTA($A262,$E262:$J262,$L262:$N262)=0,"",IF($A262="","Add Loan UID",IF(ISNA(MATCH($A262,'Loans (reference)'!$A$2:$A$500,0)),"UID not in Loans tab",IF($E262="","Add payment no.",IF(COUNTIFS($A$2:$A$300,$A262,$E$2:$E$300,$E262)&gt;1,"Duplicate payment no.",IF($F262="","Add payment date",IF(COUNT($G262:$I262)=0,"Add an amount","Ready")))))))</f>
        <v/>
      </c>
      <c r="P262" s="19"/>
      <c r="Q262" s="20"/>
    </row>
    <row r="263" customFormat="false" ht="15" hidden="false" customHeight="false" outlineLevel="0" collapsed="false">
      <c r="A263" s="12"/>
      <c r="B263" s="13" t="str">
        <f aca="false">IF($A263="","",IFERROR(INDEX('Loans (reference)'!$B$2:$B$500,MATCH($A263,'Loans (reference)'!$A$2:$A$500,0)),"not found"))</f>
        <v/>
      </c>
      <c r="C263" s="14" t="str">
        <f aca="false">IF($A263="","",IFERROR(INDEX('Loans (reference)'!$E$2:$E$500,MATCH($A263,'Loans (reference)'!$A$2:$A$500,0)),""))</f>
        <v/>
      </c>
      <c r="D263" s="13" t="str">
        <f aca="false">IF($A263="","",IFERROR(INDEX('Loans (reference)'!$K$2:$K$500,MATCH($A263,'Loans (reference)'!$A$2:$A$500,0)),""))</f>
        <v/>
      </c>
      <c r="E263" s="15"/>
      <c r="F263" s="16"/>
      <c r="G263" s="17"/>
      <c r="H263" s="17"/>
      <c r="I263" s="17"/>
      <c r="J263" s="17"/>
      <c r="K263" s="18" t="str">
        <f aca="false">IF(COUNT($G263:$I263)=0,"",SUM($G263:$I263))</f>
        <v/>
      </c>
      <c r="L263" s="15"/>
      <c r="M263" s="15"/>
      <c r="N263" s="15"/>
      <c r="O263" s="13" t="str">
        <f aca="false">IF(COUNTA($A263,$E263:$J263,$L263:$N263)=0,"",IF($A263="","Add Loan UID",IF(ISNA(MATCH($A263,'Loans (reference)'!$A$2:$A$500,0)),"UID not in Loans tab",IF($E263="","Add payment no.",IF(COUNTIFS($A$2:$A$300,$A263,$E$2:$E$300,$E263)&gt;1,"Duplicate payment no.",IF($F263="","Add payment date",IF(COUNT($G263:$I263)=0,"Add an amount","Ready")))))))</f>
        <v/>
      </c>
      <c r="P263" s="19"/>
      <c r="Q263" s="20"/>
    </row>
    <row r="264" customFormat="false" ht="15" hidden="false" customHeight="false" outlineLevel="0" collapsed="false">
      <c r="A264" s="12"/>
      <c r="B264" s="13" t="str">
        <f aca="false">IF($A264="","",IFERROR(INDEX('Loans (reference)'!$B$2:$B$500,MATCH($A264,'Loans (reference)'!$A$2:$A$500,0)),"not found"))</f>
        <v/>
      </c>
      <c r="C264" s="14" t="str">
        <f aca="false">IF($A264="","",IFERROR(INDEX('Loans (reference)'!$E$2:$E$500,MATCH($A264,'Loans (reference)'!$A$2:$A$500,0)),""))</f>
        <v/>
      </c>
      <c r="D264" s="13" t="str">
        <f aca="false">IF($A264="","",IFERROR(INDEX('Loans (reference)'!$K$2:$K$500,MATCH($A264,'Loans (reference)'!$A$2:$A$500,0)),""))</f>
        <v/>
      </c>
      <c r="E264" s="15"/>
      <c r="F264" s="16"/>
      <c r="G264" s="17"/>
      <c r="H264" s="17"/>
      <c r="I264" s="17"/>
      <c r="J264" s="17"/>
      <c r="K264" s="18" t="str">
        <f aca="false">IF(COUNT($G264:$I264)=0,"",SUM($G264:$I264))</f>
        <v/>
      </c>
      <c r="L264" s="15"/>
      <c r="M264" s="15"/>
      <c r="N264" s="15"/>
      <c r="O264" s="13" t="str">
        <f aca="false">IF(COUNTA($A264,$E264:$J264,$L264:$N264)=0,"",IF($A264="","Add Loan UID",IF(ISNA(MATCH($A264,'Loans (reference)'!$A$2:$A$500,0)),"UID not in Loans tab",IF($E264="","Add payment no.",IF(COUNTIFS($A$2:$A$300,$A264,$E$2:$E$300,$E264)&gt;1,"Duplicate payment no.",IF($F264="","Add payment date",IF(COUNT($G264:$I264)=0,"Add an amount","Ready")))))))</f>
        <v/>
      </c>
      <c r="P264" s="19"/>
      <c r="Q264" s="20"/>
    </row>
    <row r="265" customFormat="false" ht="15" hidden="false" customHeight="false" outlineLevel="0" collapsed="false">
      <c r="A265" s="12"/>
      <c r="B265" s="13" t="str">
        <f aca="false">IF($A265="","",IFERROR(INDEX('Loans (reference)'!$B$2:$B$500,MATCH($A265,'Loans (reference)'!$A$2:$A$500,0)),"not found"))</f>
        <v/>
      </c>
      <c r="C265" s="14" t="str">
        <f aca="false">IF($A265="","",IFERROR(INDEX('Loans (reference)'!$E$2:$E$500,MATCH($A265,'Loans (reference)'!$A$2:$A$500,0)),""))</f>
        <v/>
      </c>
      <c r="D265" s="13" t="str">
        <f aca="false">IF($A265="","",IFERROR(INDEX('Loans (reference)'!$K$2:$K$500,MATCH($A265,'Loans (reference)'!$A$2:$A$500,0)),""))</f>
        <v/>
      </c>
      <c r="E265" s="15"/>
      <c r="F265" s="16"/>
      <c r="G265" s="17"/>
      <c r="H265" s="17"/>
      <c r="I265" s="17"/>
      <c r="J265" s="17"/>
      <c r="K265" s="18" t="str">
        <f aca="false">IF(COUNT($G265:$I265)=0,"",SUM($G265:$I265))</f>
        <v/>
      </c>
      <c r="L265" s="15"/>
      <c r="M265" s="15"/>
      <c r="N265" s="15"/>
      <c r="O265" s="13" t="str">
        <f aca="false">IF(COUNTA($A265,$E265:$J265,$L265:$N265)=0,"",IF($A265="","Add Loan UID",IF(ISNA(MATCH($A265,'Loans (reference)'!$A$2:$A$500,0)),"UID not in Loans tab",IF($E265="","Add payment no.",IF(COUNTIFS($A$2:$A$300,$A265,$E$2:$E$300,$E265)&gt;1,"Duplicate payment no.",IF($F265="","Add payment date",IF(COUNT($G265:$I265)=0,"Add an amount","Ready")))))))</f>
        <v/>
      </c>
      <c r="P265" s="19"/>
      <c r="Q265" s="20"/>
    </row>
    <row r="266" customFormat="false" ht="15" hidden="false" customHeight="false" outlineLevel="0" collapsed="false">
      <c r="A266" s="12"/>
      <c r="B266" s="13" t="str">
        <f aca="false">IF($A266="","",IFERROR(INDEX('Loans (reference)'!$B$2:$B$500,MATCH($A266,'Loans (reference)'!$A$2:$A$500,0)),"not found"))</f>
        <v/>
      </c>
      <c r="C266" s="14" t="str">
        <f aca="false">IF($A266="","",IFERROR(INDEX('Loans (reference)'!$E$2:$E$500,MATCH($A266,'Loans (reference)'!$A$2:$A$500,0)),""))</f>
        <v/>
      </c>
      <c r="D266" s="13" t="str">
        <f aca="false">IF($A266="","",IFERROR(INDEX('Loans (reference)'!$K$2:$K$500,MATCH($A266,'Loans (reference)'!$A$2:$A$500,0)),""))</f>
        <v/>
      </c>
      <c r="E266" s="15"/>
      <c r="F266" s="16"/>
      <c r="G266" s="17"/>
      <c r="H266" s="17"/>
      <c r="I266" s="17"/>
      <c r="J266" s="17"/>
      <c r="K266" s="18" t="str">
        <f aca="false">IF(COUNT($G266:$I266)=0,"",SUM($G266:$I266))</f>
        <v/>
      </c>
      <c r="L266" s="15"/>
      <c r="M266" s="15"/>
      <c r="N266" s="15"/>
      <c r="O266" s="13" t="str">
        <f aca="false">IF(COUNTA($A266,$E266:$J266,$L266:$N266)=0,"",IF($A266="","Add Loan UID",IF(ISNA(MATCH($A266,'Loans (reference)'!$A$2:$A$500,0)),"UID not in Loans tab",IF($E266="","Add payment no.",IF(COUNTIFS($A$2:$A$300,$A266,$E$2:$E$300,$E266)&gt;1,"Duplicate payment no.",IF($F266="","Add payment date",IF(COUNT($G266:$I266)=0,"Add an amount","Ready")))))))</f>
        <v/>
      </c>
      <c r="P266" s="19"/>
      <c r="Q266" s="20"/>
    </row>
    <row r="267" customFormat="false" ht="15" hidden="false" customHeight="false" outlineLevel="0" collapsed="false">
      <c r="A267" s="12"/>
      <c r="B267" s="13" t="str">
        <f aca="false">IF($A267="","",IFERROR(INDEX('Loans (reference)'!$B$2:$B$500,MATCH($A267,'Loans (reference)'!$A$2:$A$500,0)),"not found"))</f>
        <v/>
      </c>
      <c r="C267" s="14" t="str">
        <f aca="false">IF($A267="","",IFERROR(INDEX('Loans (reference)'!$E$2:$E$500,MATCH($A267,'Loans (reference)'!$A$2:$A$500,0)),""))</f>
        <v/>
      </c>
      <c r="D267" s="13" t="str">
        <f aca="false">IF($A267="","",IFERROR(INDEX('Loans (reference)'!$K$2:$K$500,MATCH($A267,'Loans (reference)'!$A$2:$A$500,0)),""))</f>
        <v/>
      </c>
      <c r="E267" s="15"/>
      <c r="F267" s="16"/>
      <c r="G267" s="17"/>
      <c r="H267" s="17"/>
      <c r="I267" s="17"/>
      <c r="J267" s="17"/>
      <c r="K267" s="18" t="str">
        <f aca="false">IF(COUNT($G267:$I267)=0,"",SUM($G267:$I267))</f>
        <v/>
      </c>
      <c r="L267" s="15"/>
      <c r="M267" s="15"/>
      <c r="N267" s="15"/>
      <c r="O267" s="13" t="str">
        <f aca="false">IF(COUNTA($A267,$E267:$J267,$L267:$N267)=0,"",IF($A267="","Add Loan UID",IF(ISNA(MATCH($A267,'Loans (reference)'!$A$2:$A$500,0)),"UID not in Loans tab",IF($E267="","Add payment no.",IF(COUNTIFS($A$2:$A$300,$A267,$E$2:$E$300,$E267)&gt;1,"Duplicate payment no.",IF($F267="","Add payment date",IF(COUNT($G267:$I267)=0,"Add an amount","Ready")))))))</f>
        <v/>
      </c>
      <c r="P267" s="19"/>
      <c r="Q267" s="20"/>
    </row>
    <row r="268" customFormat="false" ht="15" hidden="false" customHeight="false" outlineLevel="0" collapsed="false">
      <c r="A268" s="12"/>
      <c r="B268" s="13" t="str">
        <f aca="false">IF($A268="","",IFERROR(INDEX('Loans (reference)'!$B$2:$B$500,MATCH($A268,'Loans (reference)'!$A$2:$A$500,0)),"not found"))</f>
        <v/>
      </c>
      <c r="C268" s="14" t="str">
        <f aca="false">IF($A268="","",IFERROR(INDEX('Loans (reference)'!$E$2:$E$500,MATCH($A268,'Loans (reference)'!$A$2:$A$500,0)),""))</f>
        <v/>
      </c>
      <c r="D268" s="13" t="str">
        <f aca="false">IF($A268="","",IFERROR(INDEX('Loans (reference)'!$K$2:$K$500,MATCH($A268,'Loans (reference)'!$A$2:$A$500,0)),""))</f>
        <v/>
      </c>
      <c r="E268" s="15"/>
      <c r="F268" s="16"/>
      <c r="G268" s="17"/>
      <c r="H268" s="17"/>
      <c r="I268" s="17"/>
      <c r="J268" s="17"/>
      <c r="K268" s="18" t="str">
        <f aca="false">IF(COUNT($G268:$I268)=0,"",SUM($G268:$I268))</f>
        <v/>
      </c>
      <c r="L268" s="15"/>
      <c r="M268" s="15"/>
      <c r="N268" s="15"/>
      <c r="O268" s="13" t="str">
        <f aca="false">IF(COUNTA($A268,$E268:$J268,$L268:$N268)=0,"",IF($A268="","Add Loan UID",IF(ISNA(MATCH($A268,'Loans (reference)'!$A$2:$A$500,0)),"UID not in Loans tab",IF($E268="","Add payment no.",IF(COUNTIFS($A$2:$A$300,$A268,$E$2:$E$300,$E268)&gt;1,"Duplicate payment no.",IF($F268="","Add payment date",IF(COUNT($G268:$I268)=0,"Add an amount","Ready")))))))</f>
        <v/>
      </c>
      <c r="P268" s="19"/>
      <c r="Q268" s="20"/>
    </row>
    <row r="269" customFormat="false" ht="15" hidden="false" customHeight="false" outlineLevel="0" collapsed="false">
      <c r="A269" s="12"/>
      <c r="B269" s="13" t="str">
        <f aca="false">IF($A269="","",IFERROR(INDEX('Loans (reference)'!$B$2:$B$500,MATCH($A269,'Loans (reference)'!$A$2:$A$500,0)),"not found"))</f>
        <v/>
      </c>
      <c r="C269" s="14" t="str">
        <f aca="false">IF($A269="","",IFERROR(INDEX('Loans (reference)'!$E$2:$E$500,MATCH($A269,'Loans (reference)'!$A$2:$A$500,0)),""))</f>
        <v/>
      </c>
      <c r="D269" s="13" t="str">
        <f aca="false">IF($A269="","",IFERROR(INDEX('Loans (reference)'!$K$2:$K$500,MATCH($A269,'Loans (reference)'!$A$2:$A$500,0)),""))</f>
        <v/>
      </c>
      <c r="E269" s="15"/>
      <c r="F269" s="16"/>
      <c r="G269" s="17"/>
      <c r="H269" s="17"/>
      <c r="I269" s="17"/>
      <c r="J269" s="17"/>
      <c r="K269" s="18" t="str">
        <f aca="false">IF(COUNT($G269:$I269)=0,"",SUM($G269:$I269))</f>
        <v/>
      </c>
      <c r="L269" s="15"/>
      <c r="M269" s="15"/>
      <c r="N269" s="15"/>
      <c r="O269" s="13" t="str">
        <f aca="false">IF(COUNTA($A269,$E269:$J269,$L269:$N269)=0,"",IF($A269="","Add Loan UID",IF(ISNA(MATCH($A269,'Loans (reference)'!$A$2:$A$500,0)),"UID not in Loans tab",IF($E269="","Add payment no.",IF(COUNTIFS($A$2:$A$300,$A269,$E$2:$E$300,$E269)&gt;1,"Duplicate payment no.",IF($F269="","Add payment date",IF(COUNT($G269:$I269)=0,"Add an amount","Ready")))))))</f>
        <v/>
      </c>
      <c r="P269" s="19"/>
      <c r="Q269" s="20"/>
    </row>
    <row r="270" customFormat="false" ht="15" hidden="false" customHeight="false" outlineLevel="0" collapsed="false">
      <c r="A270" s="12"/>
      <c r="B270" s="13" t="str">
        <f aca="false">IF($A270="","",IFERROR(INDEX('Loans (reference)'!$B$2:$B$500,MATCH($A270,'Loans (reference)'!$A$2:$A$500,0)),"not found"))</f>
        <v/>
      </c>
      <c r="C270" s="14" t="str">
        <f aca="false">IF($A270="","",IFERROR(INDEX('Loans (reference)'!$E$2:$E$500,MATCH($A270,'Loans (reference)'!$A$2:$A$500,0)),""))</f>
        <v/>
      </c>
      <c r="D270" s="13" t="str">
        <f aca="false">IF($A270="","",IFERROR(INDEX('Loans (reference)'!$K$2:$K$500,MATCH($A270,'Loans (reference)'!$A$2:$A$500,0)),""))</f>
        <v/>
      </c>
      <c r="E270" s="15"/>
      <c r="F270" s="16"/>
      <c r="G270" s="17"/>
      <c r="H270" s="17"/>
      <c r="I270" s="17"/>
      <c r="J270" s="17"/>
      <c r="K270" s="18" t="str">
        <f aca="false">IF(COUNT($G270:$I270)=0,"",SUM($G270:$I270))</f>
        <v/>
      </c>
      <c r="L270" s="15"/>
      <c r="M270" s="15"/>
      <c r="N270" s="15"/>
      <c r="O270" s="13" t="str">
        <f aca="false">IF(COUNTA($A270,$E270:$J270,$L270:$N270)=0,"",IF($A270="","Add Loan UID",IF(ISNA(MATCH($A270,'Loans (reference)'!$A$2:$A$500,0)),"UID not in Loans tab",IF($E270="","Add payment no.",IF(COUNTIFS($A$2:$A$300,$A270,$E$2:$E$300,$E270)&gt;1,"Duplicate payment no.",IF($F270="","Add payment date",IF(COUNT($G270:$I270)=0,"Add an amount","Ready")))))))</f>
        <v/>
      </c>
      <c r="P270" s="19"/>
      <c r="Q270" s="20"/>
    </row>
    <row r="271" customFormat="false" ht="15" hidden="false" customHeight="false" outlineLevel="0" collapsed="false">
      <c r="A271" s="12"/>
      <c r="B271" s="13" t="str">
        <f aca="false">IF($A271="","",IFERROR(INDEX('Loans (reference)'!$B$2:$B$500,MATCH($A271,'Loans (reference)'!$A$2:$A$500,0)),"not found"))</f>
        <v/>
      </c>
      <c r="C271" s="14" t="str">
        <f aca="false">IF($A271="","",IFERROR(INDEX('Loans (reference)'!$E$2:$E$500,MATCH($A271,'Loans (reference)'!$A$2:$A$500,0)),""))</f>
        <v/>
      </c>
      <c r="D271" s="13" t="str">
        <f aca="false">IF($A271="","",IFERROR(INDEX('Loans (reference)'!$K$2:$K$500,MATCH($A271,'Loans (reference)'!$A$2:$A$500,0)),""))</f>
        <v/>
      </c>
      <c r="E271" s="15"/>
      <c r="F271" s="16"/>
      <c r="G271" s="17"/>
      <c r="H271" s="17"/>
      <c r="I271" s="17"/>
      <c r="J271" s="17"/>
      <c r="K271" s="18" t="str">
        <f aca="false">IF(COUNT($G271:$I271)=0,"",SUM($G271:$I271))</f>
        <v/>
      </c>
      <c r="L271" s="15"/>
      <c r="M271" s="15"/>
      <c r="N271" s="15"/>
      <c r="O271" s="13" t="str">
        <f aca="false">IF(COUNTA($A271,$E271:$J271,$L271:$N271)=0,"",IF($A271="","Add Loan UID",IF(ISNA(MATCH($A271,'Loans (reference)'!$A$2:$A$500,0)),"UID not in Loans tab",IF($E271="","Add payment no.",IF(COUNTIFS($A$2:$A$300,$A271,$E$2:$E$300,$E271)&gt;1,"Duplicate payment no.",IF($F271="","Add payment date",IF(COUNT($G271:$I271)=0,"Add an amount","Ready")))))))</f>
        <v/>
      </c>
      <c r="P271" s="19"/>
      <c r="Q271" s="20"/>
    </row>
    <row r="272" customFormat="false" ht="15" hidden="false" customHeight="false" outlineLevel="0" collapsed="false">
      <c r="A272" s="12"/>
      <c r="B272" s="13" t="str">
        <f aca="false">IF($A272="","",IFERROR(INDEX('Loans (reference)'!$B$2:$B$500,MATCH($A272,'Loans (reference)'!$A$2:$A$500,0)),"not found"))</f>
        <v/>
      </c>
      <c r="C272" s="14" t="str">
        <f aca="false">IF($A272="","",IFERROR(INDEX('Loans (reference)'!$E$2:$E$500,MATCH($A272,'Loans (reference)'!$A$2:$A$500,0)),""))</f>
        <v/>
      </c>
      <c r="D272" s="13" t="str">
        <f aca="false">IF($A272="","",IFERROR(INDEX('Loans (reference)'!$K$2:$K$500,MATCH($A272,'Loans (reference)'!$A$2:$A$500,0)),""))</f>
        <v/>
      </c>
      <c r="E272" s="15"/>
      <c r="F272" s="16"/>
      <c r="G272" s="17"/>
      <c r="H272" s="17"/>
      <c r="I272" s="17"/>
      <c r="J272" s="17"/>
      <c r="K272" s="18" t="str">
        <f aca="false">IF(COUNT($G272:$I272)=0,"",SUM($G272:$I272))</f>
        <v/>
      </c>
      <c r="L272" s="15"/>
      <c r="M272" s="15"/>
      <c r="N272" s="15"/>
      <c r="O272" s="13" t="str">
        <f aca="false">IF(COUNTA($A272,$E272:$J272,$L272:$N272)=0,"",IF($A272="","Add Loan UID",IF(ISNA(MATCH($A272,'Loans (reference)'!$A$2:$A$500,0)),"UID not in Loans tab",IF($E272="","Add payment no.",IF(COUNTIFS($A$2:$A$300,$A272,$E$2:$E$300,$E272)&gt;1,"Duplicate payment no.",IF($F272="","Add payment date",IF(COUNT($G272:$I272)=0,"Add an amount","Ready")))))))</f>
        <v/>
      </c>
      <c r="P272" s="19"/>
      <c r="Q272" s="20"/>
    </row>
    <row r="273" customFormat="false" ht="15" hidden="false" customHeight="false" outlineLevel="0" collapsed="false">
      <c r="A273" s="12"/>
      <c r="B273" s="13" t="str">
        <f aca="false">IF($A273="","",IFERROR(INDEX('Loans (reference)'!$B$2:$B$500,MATCH($A273,'Loans (reference)'!$A$2:$A$500,0)),"not found"))</f>
        <v/>
      </c>
      <c r="C273" s="14" t="str">
        <f aca="false">IF($A273="","",IFERROR(INDEX('Loans (reference)'!$E$2:$E$500,MATCH($A273,'Loans (reference)'!$A$2:$A$500,0)),""))</f>
        <v/>
      </c>
      <c r="D273" s="13" t="str">
        <f aca="false">IF($A273="","",IFERROR(INDEX('Loans (reference)'!$K$2:$K$500,MATCH($A273,'Loans (reference)'!$A$2:$A$500,0)),""))</f>
        <v/>
      </c>
      <c r="E273" s="15"/>
      <c r="F273" s="16"/>
      <c r="G273" s="17"/>
      <c r="H273" s="17"/>
      <c r="I273" s="17"/>
      <c r="J273" s="17"/>
      <c r="K273" s="18" t="str">
        <f aca="false">IF(COUNT($G273:$I273)=0,"",SUM($G273:$I273))</f>
        <v/>
      </c>
      <c r="L273" s="15"/>
      <c r="M273" s="15"/>
      <c r="N273" s="15"/>
      <c r="O273" s="13" t="str">
        <f aca="false">IF(COUNTA($A273,$E273:$J273,$L273:$N273)=0,"",IF($A273="","Add Loan UID",IF(ISNA(MATCH($A273,'Loans (reference)'!$A$2:$A$500,0)),"UID not in Loans tab",IF($E273="","Add payment no.",IF(COUNTIFS($A$2:$A$300,$A273,$E$2:$E$300,$E273)&gt;1,"Duplicate payment no.",IF($F273="","Add payment date",IF(COUNT($G273:$I273)=0,"Add an amount","Ready")))))))</f>
        <v/>
      </c>
      <c r="P273" s="19"/>
      <c r="Q273" s="20"/>
    </row>
    <row r="274" customFormat="false" ht="15" hidden="false" customHeight="false" outlineLevel="0" collapsed="false">
      <c r="A274" s="12"/>
      <c r="B274" s="13" t="str">
        <f aca="false">IF($A274="","",IFERROR(INDEX('Loans (reference)'!$B$2:$B$500,MATCH($A274,'Loans (reference)'!$A$2:$A$500,0)),"not found"))</f>
        <v/>
      </c>
      <c r="C274" s="14" t="str">
        <f aca="false">IF($A274="","",IFERROR(INDEX('Loans (reference)'!$E$2:$E$500,MATCH($A274,'Loans (reference)'!$A$2:$A$500,0)),""))</f>
        <v/>
      </c>
      <c r="D274" s="13" t="str">
        <f aca="false">IF($A274="","",IFERROR(INDEX('Loans (reference)'!$K$2:$K$500,MATCH($A274,'Loans (reference)'!$A$2:$A$500,0)),""))</f>
        <v/>
      </c>
      <c r="E274" s="15"/>
      <c r="F274" s="16"/>
      <c r="G274" s="17"/>
      <c r="H274" s="17"/>
      <c r="I274" s="17"/>
      <c r="J274" s="17"/>
      <c r="K274" s="18" t="str">
        <f aca="false">IF(COUNT($G274:$I274)=0,"",SUM($G274:$I274))</f>
        <v/>
      </c>
      <c r="L274" s="15"/>
      <c r="M274" s="15"/>
      <c r="N274" s="15"/>
      <c r="O274" s="13" t="str">
        <f aca="false">IF(COUNTA($A274,$E274:$J274,$L274:$N274)=0,"",IF($A274="","Add Loan UID",IF(ISNA(MATCH($A274,'Loans (reference)'!$A$2:$A$500,0)),"UID not in Loans tab",IF($E274="","Add payment no.",IF(COUNTIFS($A$2:$A$300,$A274,$E$2:$E$300,$E274)&gt;1,"Duplicate payment no.",IF($F274="","Add payment date",IF(COUNT($G274:$I274)=0,"Add an amount","Ready")))))))</f>
        <v/>
      </c>
      <c r="P274" s="19"/>
      <c r="Q274" s="20"/>
    </row>
    <row r="275" customFormat="false" ht="15" hidden="false" customHeight="false" outlineLevel="0" collapsed="false">
      <c r="A275" s="12"/>
      <c r="B275" s="13" t="str">
        <f aca="false">IF($A275="","",IFERROR(INDEX('Loans (reference)'!$B$2:$B$500,MATCH($A275,'Loans (reference)'!$A$2:$A$500,0)),"not found"))</f>
        <v/>
      </c>
      <c r="C275" s="14" t="str">
        <f aca="false">IF($A275="","",IFERROR(INDEX('Loans (reference)'!$E$2:$E$500,MATCH($A275,'Loans (reference)'!$A$2:$A$500,0)),""))</f>
        <v/>
      </c>
      <c r="D275" s="13" t="str">
        <f aca="false">IF($A275="","",IFERROR(INDEX('Loans (reference)'!$K$2:$K$500,MATCH($A275,'Loans (reference)'!$A$2:$A$500,0)),""))</f>
        <v/>
      </c>
      <c r="E275" s="15"/>
      <c r="F275" s="16"/>
      <c r="G275" s="17"/>
      <c r="H275" s="17"/>
      <c r="I275" s="17"/>
      <c r="J275" s="17"/>
      <c r="K275" s="18" t="str">
        <f aca="false">IF(COUNT($G275:$I275)=0,"",SUM($G275:$I275))</f>
        <v/>
      </c>
      <c r="L275" s="15"/>
      <c r="M275" s="15"/>
      <c r="N275" s="15"/>
      <c r="O275" s="13" t="str">
        <f aca="false">IF(COUNTA($A275,$E275:$J275,$L275:$N275)=0,"",IF($A275="","Add Loan UID",IF(ISNA(MATCH($A275,'Loans (reference)'!$A$2:$A$500,0)),"UID not in Loans tab",IF($E275="","Add payment no.",IF(COUNTIFS($A$2:$A$300,$A275,$E$2:$E$300,$E275)&gt;1,"Duplicate payment no.",IF($F275="","Add payment date",IF(COUNT($G275:$I275)=0,"Add an amount","Ready")))))))</f>
        <v/>
      </c>
      <c r="P275" s="19"/>
      <c r="Q275" s="20"/>
    </row>
    <row r="276" customFormat="false" ht="15" hidden="false" customHeight="false" outlineLevel="0" collapsed="false">
      <c r="A276" s="12"/>
      <c r="B276" s="13" t="str">
        <f aca="false">IF($A276="","",IFERROR(INDEX('Loans (reference)'!$B$2:$B$500,MATCH($A276,'Loans (reference)'!$A$2:$A$500,0)),"not found"))</f>
        <v/>
      </c>
      <c r="C276" s="14" t="str">
        <f aca="false">IF($A276="","",IFERROR(INDEX('Loans (reference)'!$E$2:$E$500,MATCH($A276,'Loans (reference)'!$A$2:$A$500,0)),""))</f>
        <v/>
      </c>
      <c r="D276" s="13" t="str">
        <f aca="false">IF($A276="","",IFERROR(INDEX('Loans (reference)'!$K$2:$K$500,MATCH($A276,'Loans (reference)'!$A$2:$A$500,0)),""))</f>
        <v/>
      </c>
      <c r="E276" s="15"/>
      <c r="F276" s="16"/>
      <c r="G276" s="17"/>
      <c r="H276" s="17"/>
      <c r="I276" s="17"/>
      <c r="J276" s="17"/>
      <c r="K276" s="18" t="str">
        <f aca="false">IF(COUNT($G276:$I276)=0,"",SUM($G276:$I276))</f>
        <v/>
      </c>
      <c r="L276" s="15"/>
      <c r="M276" s="15"/>
      <c r="N276" s="15"/>
      <c r="O276" s="13" t="str">
        <f aca="false">IF(COUNTA($A276,$E276:$J276,$L276:$N276)=0,"",IF($A276="","Add Loan UID",IF(ISNA(MATCH($A276,'Loans (reference)'!$A$2:$A$500,0)),"UID not in Loans tab",IF($E276="","Add payment no.",IF(COUNTIFS($A$2:$A$300,$A276,$E$2:$E$300,$E276)&gt;1,"Duplicate payment no.",IF($F276="","Add payment date",IF(COUNT($G276:$I276)=0,"Add an amount","Ready")))))))</f>
        <v/>
      </c>
      <c r="P276" s="19"/>
      <c r="Q276" s="20"/>
    </row>
    <row r="277" customFormat="false" ht="15" hidden="false" customHeight="false" outlineLevel="0" collapsed="false">
      <c r="A277" s="12"/>
      <c r="B277" s="13" t="str">
        <f aca="false">IF($A277="","",IFERROR(INDEX('Loans (reference)'!$B$2:$B$500,MATCH($A277,'Loans (reference)'!$A$2:$A$500,0)),"not found"))</f>
        <v/>
      </c>
      <c r="C277" s="14" t="str">
        <f aca="false">IF($A277="","",IFERROR(INDEX('Loans (reference)'!$E$2:$E$500,MATCH($A277,'Loans (reference)'!$A$2:$A$500,0)),""))</f>
        <v/>
      </c>
      <c r="D277" s="13" t="str">
        <f aca="false">IF($A277="","",IFERROR(INDEX('Loans (reference)'!$K$2:$K$500,MATCH($A277,'Loans (reference)'!$A$2:$A$500,0)),""))</f>
        <v/>
      </c>
      <c r="E277" s="15"/>
      <c r="F277" s="16"/>
      <c r="G277" s="17"/>
      <c r="H277" s="17"/>
      <c r="I277" s="17"/>
      <c r="J277" s="17"/>
      <c r="K277" s="18" t="str">
        <f aca="false">IF(COUNT($G277:$I277)=0,"",SUM($G277:$I277))</f>
        <v/>
      </c>
      <c r="L277" s="15"/>
      <c r="M277" s="15"/>
      <c r="N277" s="15"/>
      <c r="O277" s="13" t="str">
        <f aca="false">IF(COUNTA($A277,$E277:$J277,$L277:$N277)=0,"",IF($A277="","Add Loan UID",IF(ISNA(MATCH($A277,'Loans (reference)'!$A$2:$A$500,0)),"UID not in Loans tab",IF($E277="","Add payment no.",IF(COUNTIFS($A$2:$A$300,$A277,$E$2:$E$300,$E277)&gt;1,"Duplicate payment no.",IF($F277="","Add payment date",IF(COUNT($G277:$I277)=0,"Add an amount","Ready")))))))</f>
        <v/>
      </c>
      <c r="P277" s="19"/>
      <c r="Q277" s="20"/>
    </row>
    <row r="278" customFormat="false" ht="15" hidden="false" customHeight="false" outlineLevel="0" collapsed="false">
      <c r="A278" s="12"/>
      <c r="B278" s="13" t="str">
        <f aca="false">IF($A278="","",IFERROR(INDEX('Loans (reference)'!$B$2:$B$500,MATCH($A278,'Loans (reference)'!$A$2:$A$500,0)),"not found"))</f>
        <v/>
      </c>
      <c r="C278" s="14" t="str">
        <f aca="false">IF($A278="","",IFERROR(INDEX('Loans (reference)'!$E$2:$E$500,MATCH($A278,'Loans (reference)'!$A$2:$A$500,0)),""))</f>
        <v/>
      </c>
      <c r="D278" s="13" t="str">
        <f aca="false">IF($A278="","",IFERROR(INDEX('Loans (reference)'!$K$2:$K$500,MATCH($A278,'Loans (reference)'!$A$2:$A$500,0)),""))</f>
        <v/>
      </c>
      <c r="E278" s="15"/>
      <c r="F278" s="16"/>
      <c r="G278" s="17"/>
      <c r="H278" s="17"/>
      <c r="I278" s="17"/>
      <c r="J278" s="17"/>
      <c r="K278" s="18" t="str">
        <f aca="false">IF(COUNT($G278:$I278)=0,"",SUM($G278:$I278))</f>
        <v/>
      </c>
      <c r="L278" s="15"/>
      <c r="M278" s="15"/>
      <c r="N278" s="15"/>
      <c r="O278" s="13" t="str">
        <f aca="false">IF(COUNTA($A278,$E278:$J278,$L278:$N278)=0,"",IF($A278="","Add Loan UID",IF(ISNA(MATCH($A278,'Loans (reference)'!$A$2:$A$500,0)),"UID not in Loans tab",IF($E278="","Add payment no.",IF(COUNTIFS($A$2:$A$300,$A278,$E$2:$E$300,$E278)&gt;1,"Duplicate payment no.",IF($F278="","Add payment date",IF(COUNT($G278:$I278)=0,"Add an amount","Ready")))))))</f>
        <v/>
      </c>
      <c r="P278" s="19"/>
      <c r="Q278" s="20"/>
    </row>
    <row r="279" customFormat="false" ht="15" hidden="false" customHeight="false" outlineLevel="0" collapsed="false">
      <c r="A279" s="12"/>
      <c r="B279" s="13" t="str">
        <f aca="false">IF($A279="","",IFERROR(INDEX('Loans (reference)'!$B$2:$B$500,MATCH($A279,'Loans (reference)'!$A$2:$A$500,0)),"not found"))</f>
        <v/>
      </c>
      <c r="C279" s="14" t="str">
        <f aca="false">IF($A279="","",IFERROR(INDEX('Loans (reference)'!$E$2:$E$500,MATCH($A279,'Loans (reference)'!$A$2:$A$500,0)),""))</f>
        <v/>
      </c>
      <c r="D279" s="13" t="str">
        <f aca="false">IF($A279="","",IFERROR(INDEX('Loans (reference)'!$K$2:$K$500,MATCH($A279,'Loans (reference)'!$A$2:$A$500,0)),""))</f>
        <v/>
      </c>
      <c r="E279" s="15"/>
      <c r="F279" s="16"/>
      <c r="G279" s="17"/>
      <c r="H279" s="17"/>
      <c r="I279" s="17"/>
      <c r="J279" s="17"/>
      <c r="K279" s="18" t="str">
        <f aca="false">IF(COUNT($G279:$I279)=0,"",SUM($G279:$I279))</f>
        <v/>
      </c>
      <c r="L279" s="15"/>
      <c r="M279" s="15"/>
      <c r="N279" s="15"/>
      <c r="O279" s="13" t="str">
        <f aca="false">IF(COUNTA($A279,$E279:$J279,$L279:$N279)=0,"",IF($A279="","Add Loan UID",IF(ISNA(MATCH($A279,'Loans (reference)'!$A$2:$A$500,0)),"UID not in Loans tab",IF($E279="","Add payment no.",IF(COUNTIFS($A$2:$A$300,$A279,$E$2:$E$300,$E279)&gt;1,"Duplicate payment no.",IF($F279="","Add payment date",IF(COUNT($G279:$I279)=0,"Add an amount","Ready")))))))</f>
        <v/>
      </c>
      <c r="P279" s="19"/>
      <c r="Q279" s="20"/>
    </row>
    <row r="280" customFormat="false" ht="15" hidden="false" customHeight="false" outlineLevel="0" collapsed="false">
      <c r="A280" s="12"/>
      <c r="B280" s="13" t="str">
        <f aca="false">IF($A280="","",IFERROR(INDEX('Loans (reference)'!$B$2:$B$500,MATCH($A280,'Loans (reference)'!$A$2:$A$500,0)),"not found"))</f>
        <v/>
      </c>
      <c r="C280" s="14" t="str">
        <f aca="false">IF($A280="","",IFERROR(INDEX('Loans (reference)'!$E$2:$E$500,MATCH($A280,'Loans (reference)'!$A$2:$A$500,0)),""))</f>
        <v/>
      </c>
      <c r="D280" s="13" t="str">
        <f aca="false">IF($A280="","",IFERROR(INDEX('Loans (reference)'!$K$2:$K$500,MATCH($A280,'Loans (reference)'!$A$2:$A$500,0)),""))</f>
        <v/>
      </c>
      <c r="E280" s="15"/>
      <c r="F280" s="16"/>
      <c r="G280" s="17"/>
      <c r="H280" s="17"/>
      <c r="I280" s="17"/>
      <c r="J280" s="17"/>
      <c r="K280" s="18" t="str">
        <f aca="false">IF(COUNT($G280:$I280)=0,"",SUM($G280:$I280))</f>
        <v/>
      </c>
      <c r="L280" s="15"/>
      <c r="M280" s="15"/>
      <c r="N280" s="15"/>
      <c r="O280" s="13" t="str">
        <f aca="false">IF(COUNTA($A280,$E280:$J280,$L280:$N280)=0,"",IF($A280="","Add Loan UID",IF(ISNA(MATCH($A280,'Loans (reference)'!$A$2:$A$500,0)),"UID not in Loans tab",IF($E280="","Add payment no.",IF(COUNTIFS($A$2:$A$300,$A280,$E$2:$E$300,$E280)&gt;1,"Duplicate payment no.",IF($F280="","Add payment date",IF(COUNT($G280:$I280)=0,"Add an amount","Ready")))))))</f>
        <v/>
      </c>
      <c r="P280" s="19"/>
      <c r="Q280" s="20"/>
    </row>
    <row r="281" customFormat="false" ht="15" hidden="false" customHeight="false" outlineLevel="0" collapsed="false">
      <c r="A281" s="12"/>
      <c r="B281" s="13" t="str">
        <f aca="false">IF($A281="","",IFERROR(INDEX('Loans (reference)'!$B$2:$B$500,MATCH($A281,'Loans (reference)'!$A$2:$A$500,0)),"not found"))</f>
        <v/>
      </c>
      <c r="C281" s="14" t="str">
        <f aca="false">IF($A281="","",IFERROR(INDEX('Loans (reference)'!$E$2:$E$500,MATCH($A281,'Loans (reference)'!$A$2:$A$500,0)),""))</f>
        <v/>
      </c>
      <c r="D281" s="13" t="str">
        <f aca="false">IF($A281="","",IFERROR(INDEX('Loans (reference)'!$K$2:$K$500,MATCH($A281,'Loans (reference)'!$A$2:$A$500,0)),""))</f>
        <v/>
      </c>
      <c r="E281" s="15"/>
      <c r="F281" s="16"/>
      <c r="G281" s="17"/>
      <c r="H281" s="17"/>
      <c r="I281" s="17"/>
      <c r="J281" s="17"/>
      <c r="K281" s="18" t="str">
        <f aca="false">IF(COUNT($G281:$I281)=0,"",SUM($G281:$I281))</f>
        <v/>
      </c>
      <c r="L281" s="15"/>
      <c r="M281" s="15"/>
      <c r="N281" s="15"/>
      <c r="O281" s="13" t="str">
        <f aca="false">IF(COUNTA($A281,$E281:$J281,$L281:$N281)=0,"",IF($A281="","Add Loan UID",IF(ISNA(MATCH($A281,'Loans (reference)'!$A$2:$A$500,0)),"UID not in Loans tab",IF($E281="","Add payment no.",IF(COUNTIFS($A$2:$A$300,$A281,$E$2:$E$300,$E281)&gt;1,"Duplicate payment no.",IF($F281="","Add payment date",IF(COUNT($G281:$I281)=0,"Add an amount","Ready")))))))</f>
        <v/>
      </c>
      <c r="P281" s="19"/>
      <c r="Q281" s="20"/>
    </row>
    <row r="282" customFormat="false" ht="15" hidden="false" customHeight="false" outlineLevel="0" collapsed="false">
      <c r="A282" s="12"/>
      <c r="B282" s="13" t="str">
        <f aca="false">IF($A282="","",IFERROR(INDEX('Loans (reference)'!$B$2:$B$500,MATCH($A282,'Loans (reference)'!$A$2:$A$500,0)),"not found"))</f>
        <v/>
      </c>
      <c r="C282" s="14" t="str">
        <f aca="false">IF($A282="","",IFERROR(INDEX('Loans (reference)'!$E$2:$E$500,MATCH($A282,'Loans (reference)'!$A$2:$A$500,0)),""))</f>
        <v/>
      </c>
      <c r="D282" s="13" t="str">
        <f aca="false">IF($A282="","",IFERROR(INDEX('Loans (reference)'!$K$2:$K$500,MATCH($A282,'Loans (reference)'!$A$2:$A$500,0)),""))</f>
        <v/>
      </c>
      <c r="E282" s="15"/>
      <c r="F282" s="16"/>
      <c r="G282" s="17"/>
      <c r="H282" s="17"/>
      <c r="I282" s="17"/>
      <c r="J282" s="17"/>
      <c r="K282" s="18" t="str">
        <f aca="false">IF(COUNT($G282:$I282)=0,"",SUM($G282:$I282))</f>
        <v/>
      </c>
      <c r="L282" s="15"/>
      <c r="M282" s="15"/>
      <c r="N282" s="15"/>
      <c r="O282" s="13" t="str">
        <f aca="false">IF(COUNTA($A282,$E282:$J282,$L282:$N282)=0,"",IF($A282="","Add Loan UID",IF(ISNA(MATCH($A282,'Loans (reference)'!$A$2:$A$500,0)),"UID not in Loans tab",IF($E282="","Add payment no.",IF(COUNTIFS($A$2:$A$300,$A282,$E$2:$E$300,$E282)&gt;1,"Duplicate payment no.",IF($F282="","Add payment date",IF(COUNT($G282:$I282)=0,"Add an amount","Ready")))))))</f>
        <v/>
      </c>
      <c r="P282" s="19"/>
      <c r="Q282" s="20"/>
    </row>
    <row r="283" customFormat="false" ht="15" hidden="false" customHeight="false" outlineLevel="0" collapsed="false">
      <c r="A283" s="12"/>
      <c r="B283" s="13" t="str">
        <f aca="false">IF($A283="","",IFERROR(INDEX('Loans (reference)'!$B$2:$B$500,MATCH($A283,'Loans (reference)'!$A$2:$A$500,0)),"not found"))</f>
        <v/>
      </c>
      <c r="C283" s="14" t="str">
        <f aca="false">IF($A283="","",IFERROR(INDEX('Loans (reference)'!$E$2:$E$500,MATCH($A283,'Loans (reference)'!$A$2:$A$500,0)),""))</f>
        <v/>
      </c>
      <c r="D283" s="13" t="str">
        <f aca="false">IF($A283="","",IFERROR(INDEX('Loans (reference)'!$K$2:$K$500,MATCH($A283,'Loans (reference)'!$A$2:$A$500,0)),""))</f>
        <v/>
      </c>
      <c r="E283" s="15"/>
      <c r="F283" s="16"/>
      <c r="G283" s="17"/>
      <c r="H283" s="17"/>
      <c r="I283" s="17"/>
      <c r="J283" s="17"/>
      <c r="K283" s="18" t="str">
        <f aca="false">IF(COUNT($G283:$I283)=0,"",SUM($G283:$I283))</f>
        <v/>
      </c>
      <c r="L283" s="15"/>
      <c r="M283" s="15"/>
      <c r="N283" s="15"/>
      <c r="O283" s="13" t="str">
        <f aca="false">IF(COUNTA($A283,$E283:$J283,$L283:$N283)=0,"",IF($A283="","Add Loan UID",IF(ISNA(MATCH($A283,'Loans (reference)'!$A$2:$A$500,0)),"UID not in Loans tab",IF($E283="","Add payment no.",IF(COUNTIFS($A$2:$A$300,$A283,$E$2:$E$300,$E283)&gt;1,"Duplicate payment no.",IF($F283="","Add payment date",IF(COUNT($G283:$I283)=0,"Add an amount","Ready")))))))</f>
        <v/>
      </c>
      <c r="P283" s="19"/>
      <c r="Q283" s="20"/>
    </row>
    <row r="284" customFormat="false" ht="15" hidden="false" customHeight="false" outlineLevel="0" collapsed="false">
      <c r="A284" s="12"/>
      <c r="B284" s="13" t="str">
        <f aca="false">IF($A284="","",IFERROR(INDEX('Loans (reference)'!$B$2:$B$500,MATCH($A284,'Loans (reference)'!$A$2:$A$500,0)),"not found"))</f>
        <v/>
      </c>
      <c r="C284" s="14" t="str">
        <f aca="false">IF($A284="","",IFERROR(INDEX('Loans (reference)'!$E$2:$E$500,MATCH($A284,'Loans (reference)'!$A$2:$A$500,0)),""))</f>
        <v/>
      </c>
      <c r="D284" s="13" t="str">
        <f aca="false">IF($A284="","",IFERROR(INDEX('Loans (reference)'!$K$2:$K$500,MATCH($A284,'Loans (reference)'!$A$2:$A$500,0)),""))</f>
        <v/>
      </c>
      <c r="E284" s="15"/>
      <c r="F284" s="16"/>
      <c r="G284" s="17"/>
      <c r="H284" s="17"/>
      <c r="I284" s="17"/>
      <c r="J284" s="17"/>
      <c r="K284" s="18" t="str">
        <f aca="false">IF(COUNT($G284:$I284)=0,"",SUM($G284:$I284))</f>
        <v/>
      </c>
      <c r="L284" s="15"/>
      <c r="M284" s="15"/>
      <c r="N284" s="15"/>
      <c r="O284" s="13" t="str">
        <f aca="false">IF(COUNTA($A284,$E284:$J284,$L284:$N284)=0,"",IF($A284="","Add Loan UID",IF(ISNA(MATCH($A284,'Loans (reference)'!$A$2:$A$500,0)),"UID not in Loans tab",IF($E284="","Add payment no.",IF(COUNTIFS($A$2:$A$300,$A284,$E$2:$E$300,$E284)&gt;1,"Duplicate payment no.",IF($F284="","Add payment date",IF(COUNT($G284:$I284)=0,"Add an amount","Ready")))))))</f>
        <v/>
      </c>
      <c r="P284" s="19"/>
      <c r="Q284" s="20"/>
    </row>
    <row r="285" customFormat="false" ht="15" hidden="false" customHeight="false" outlineLevel="0" collapsed="false">
      <c r="A285" s="12"/>
      <c r="B285" s="13" t="str">
        <f aca="false">IF($A285="","",IFERROR(INDEX('Loans (reference)'!$B$2:$B$500,MATCH($A285,'Loans (reference)'!$A$2:$A$500,0)),"not found"))</f>
        <v/>
      </c>
      <c r="C285" s="14" t="str">
        <f aca="false">IF($A285="","",IFERROR(INDEX('Loans (reference)'!$E$2:$E$500,MATCH($A285,'Loans (reference)'!$A$2:$A$500,0)),""))</f>
        <v/>
      </c>
      <c r="D285" s="13" t="str">
        <f aca="false">IF($A285="","",IFERROR(INDEX('Loans (reference)'!$K$2:$K$500,MATCH($A285,'Loans (reference)'!$A$2:$A$500,0)),""))</f>
        <v/>
      </c>
      <c r="E285" s="15"/>
      <c r="F285" s="16"/>
      <c r="G285" s="17"/>
      <c r="H285" s="17"/>
      <c r="I285" s="17"/>
      <c r="J285" s="17"/>
      <c r="K285" s="18" t="str">
        <f aca="false">IF(COUNT($G285:$I285)=0,"",SUM($G285:$I285))</f>
        <v/>
      </c>
      <c r="L285" s="15"/>
      <c r="M285" s="15"/>
      <c r="N285" s="15"/>
      <c r="O285" s="13" t="str">
        <f aca="false">IF(COUNTA($A285,$E285:$J285,$L285:$N285)=0,"",IF($A285="","Add Loan UID",IF(ISNA(MATCH($A285,'Loans (reference)'!$A$2:$A$500,0)),"UID not in Loans tab",IF($E285="","Add payment no.",IF(COUNTIFS($A$2:$A$300,$A285,$E$2:$E$300,$E285)&gt;1,"Duplicate payment no.",IF($F285="","Add payment date",IF(COUNT($G285:$I285)=0,"Add an amount","Ready")))))))</f>
        <v/>
      </c>
      <c r="P285" s="19"/>
      <c r="Q285" s="20"/>
    </row>
    <row r="286" customFormat="false" ht="15" hidden="false" customHeight="false" outlineLevel="0" collapsed="false">
      <c r="A286" s="12"/>
      <c r="B286" s="13" t="str">
        <f aca="false">IF($A286="","",IFERROR(INDEX('Loans (reference)'!$B$2:$B$500,MATCH($A286,'Loans (reference)'!$A$2:$A$500,0)),"not found"))</f>
        <v/>
      </c>
      <c r="C286" s="14" t="str">
        <f aca="false">IF($A286="","",IFERROR(INDEX('Loans (reference)'!$E$2:$E$500,MATCH($A286,'Loans (reference)'!$A$2:$A$500,0)),""))</f>
        <v/>
      </c>
      <c r="D286" s="13" t="str">
        <f aca="false">IF($A286="","",IFERROR(INDEX('Loans (reference)'!$K$2:$K$500,MATCH($A286,'Loans (reference)'!$A$2:$A$500,0)),""))</f>
        <v/>
      </c>
      <c r="E286" s="15"/>
      <c r="F286" s="16"/>
      <c r="G286" s="17"/>
      <c r="H286" s="17"/>
      <c r="I286" s="17"/>
      <c r="J286" s="17"/>
      <c r="K286" s="18" t="str">
        <f aca="false">IF(COUNT($G286:$I286)=0,"",SUM($G286:$I286))</f>
        <v/>
      </c>
      <c r="L286" s="15"/>
      <c r="M286" s="15"/>
      <c r="N286" s="15"/>
      <c r="O286" s="13" t="str">
        <f aca="false">IF(COUNTA($A286,$E286:$J286,$L286:$N286)=0,"",IF($A286="","Add Loan UID",IF(ISNA(MATCH($A286,'Loans (reference)'!$A$2:$A$500,0)),"UID not in Loans tab",IF($E286="","Add payment no.",IF(COUNTIFS($A$2:$A$300,$A286,$E$2:$E$300,$E286)&gt;1,"Duplicate payment no.",IF($F286="","Add payment date",IF(COUNT($G286:$I286)=0,"Add an amount","Ready")))))))</f>
        <v/>
      </c>
      <c r="P286" s="19"/>
      <c r="Q286" s="20"/>
    </row>
    <row r="287" customFormat="false" ht="15" hidden="false" customHeight="false" outlineLevel="0" collapsed="false">
      <c r="A287" s="12"/>
      <c r="B287" s="13" t="str">
        <f aca="false">IF($A287="","",IFERROR(INDEX('Loans (reference)'!$B$2:$B$500,MATCH($A287,'Loans (reference)'!$A$2:$A$500,0)),"not found"))</f>
        <v/>
      </c>
      <c r="C287" s="14" t="str">
        <f aca="false">IF($A287="","",IFERROR(INDEX('Loans (reference)'!$E$2:$E$500,MATCH($A287,'Loans (reference)'!$A$2:$A$500,0)),""))</f>
        <v/>
      </c>
      <c r="D287" s="13" t="str">
        <f aca="false">IF($A287="","",IFERROR(INDEX('Loans (reference)'!$K$2:$K$500,MATCH($A287,'Loans (reference)'!$A$2:$A$500,0)),""))</f>
        <v/>
      </c>
      <c r="E287" s="15"/>
      <c r="F287" s="16"/>
      <c r="G287" s="17"/>
      <c r="H287" s="17"/>
      <c r="I287" s="17"/>
      <c r="J287" s="17"/>
      <c r="K287" s="18" t="str">
        <f aca="false">IF(COUNT($G287:$I287)=0,"",SUM($G287:$I287))</f>
        <v/>
      </c>
      <c r="L287" s="15"/>
      <c r="M287" s="15"/>
      <c r="N287" s="15"/>
      <c r="O287" s="13" t="str">
        <f aca="false">IF(COUNTA($A287,$E287:$J287,$L287:$N287)=0,"",IF($A287="","Add Loan UID",IF(ISNA(MATCH($A287,'Loans (reference)'!$A$2:$A$500,0)),"UID not in Loans tab",IF($E287="","Add payment no.",IF(COUNTIFS($A$2:$A$300,$A287,$E$2:$E$300,$E287)&gt;1,"Duplicate payment no.",IF($F287="","Add payment date",IF(COUNT($G287:$I287)=0,"Add an amount","Ready")))))))</f>
        <v/>
      </c>
      <c r="P287" s="19"/>
      <c r="Q287" s="20"/>
    </row>
    <row r="288" customFormat="false" ht="15" hidden="false" customHeight="false" outlineLevel="0" collapsed="false">
      <c r="A288" s="12"/>
      <c r="B288" s="13" t="str">
        <f aca="false">IF($A288="","",IFERROR(INDEX('Loans (reference)'!$B$2:$B$500,MATCH($A288,'Loans (reference)'!$A$2:$A$500,0)),"not found"))</f>
        <v/>
      </c>
      <c r="C288" s="14" t="str">
        <f aca="false">IF($A288="","",IFERROR(INDEX('Loans (reference)'!$E$2:$E$500,MATCH($A288,'Loans (reference)'!$A$2:$A$500,0)),""))</f>
        <v/>
      </c>
      <c r="D288" s="13" t="str">
        <f aca="false">IF($A288="","",IFERROR(INDEX('Loans (reference)'!$K$2:$K$500,MATCH($A288,'Loans (reference)'!$A$2:$A$500,0)),""))</f>
        <v/>
      </c>
      <c r="E288" s="15"/>
      <c r="F288" s="16"/>
      <c r="G288" s="17"/>
      <c r="H288" s="17"/>
      <c r="I288" s="17"/>
      <c r="J288" s="17"/>
      <c r="K288" s="18" t="str">
        <f aca="false">IF(COUNT($G288:$I288)=0,"",SUM($G288:$I288))</f>
        <v/>
      </c>
      <c r="L288" s="15"/>
      <c r="M288" s="15"/>
      <c r="N288" s="15"/>
      <c r="O288" s="13" t="str">
        <f aca="false">IF(COUNTA($A288,$E288:$J288,$L288:$N288)=0,"",IF($A288="","Add Loan UID",IF(ISNA(MATCH($A288,'Loans (reference)'!$A$2:$A$500,0)),"UID not in Loans tab",IF($E288="","Add payment no.",IF(COUNTIFS($A$2:$A$300,$A288,$E$2:$E$300,$E288)&gt;1,"Duplicate payment no.",IF($F288="","Add payment date",IF(COUNT($G288:$I288)=0,"Add an amount","Ready")))))))</f>
        <v/>
      </c>
      <c r="P288" s="19"/>
      <c r="Q288" s="20"/>
    </row>
    <row r="289" customFormat="false" ht="15" hidden="false" customHeight="false" outlineLevel="0" collapsed="false">
      <c r="A289" s="12"/>
      <c r="B289" s="13" t="str">
        <f aca="false">IF($A289="","",IFERROR(INDEX('Loans (reference)'!$B$2:$B$500,MATCH($A289,'Loans (reference)'!$A$2:$A$500,0)),"not found"))</f>
        <v/>
      </c>
      <c r="C289" s="14" t="str">
        <f aca="false">IF($A289="","",IFERROR(INDEX('Loans (reference)'!$E$2:$E$500,MATCH($A289,'Loans (reference)'!$A$2:$A$500,0)),""))</f>
        <v/>
      </c>
      <c r="D289" s="13" t="str">
        <f aca="false">IF($A289="","",IFERROR(INDEX('Loans (reference)'!$K$2:$K$500,MATCH($A289,'Loans (reference)'!$A$2:$A$500,0)),""))</f>
        <v/>
      </c>
      <c r="E289" s="15"/>
      <c r="F289" s="16"/>
      <c r="G289" s="17"/>
      <c r="H289" s="17"/>
      <c r="I289" s="17"/>
      <c r="J289" s="17"/>
      <c r="K289" s="18" t="str">
        <f aca="false">IF(COUNT($G289:$I289)=0,"",SUM($G289:$I289))</f>
        <v/>
      </c>
      <c r="L289" s="15"/>
      <c r="M289" s="15"/>
      <c r="N289" s="15"/>
      <c r="O289" s="13" t="str">
        <f aca="false">IF(COUNTA($A289,$E289:$J289,$L289:$N289)=0,"",IF($A289="","Add Loan UID",IF(ISNA(MATCH($A289,'Loans (reference)'!$A$2:$A$500,0)),"UID not in Loans tab",IF($E289="","Add payment no.",IF(COUNTIFS($A$2:$A$300,$A289,$E$2:$E$300,$E289)&gt;1,"Duplicate payment no.",IF($F289="","Add payment date",IF(COUNT($G289:$I289)=0,"Add an amount","Ready")))))))</f>
        <v/>
      </c>
      <c r="P289" s="19"/>
      <c r="Q289" s="20"/>
    </row>
    <row r="290" customFormat="false" ht="15" hidden="false" customHeight="false" outlineLevel="0" collapsed="false">
      <c r="A290" s="12"/>
      <c r="B290" s="13" t="str">
        <f aca="false">IF($A290="","",IFERROR(INDEX('Loans (reference)'!$B$2:$B$500,MATCH($A290,'Loans (reference)'!$A$2:$A$500,0)),"not found"))</f>
        <v/>
      </c>
      <c r="C290" s="14" t="str">
        <f aca="false">IF($A290="","",IFERROR(INDEX('Loans (reference)'!$E$2:$E$500,MATCH($A290,'Loans (reference)'!$A$2:$A$500,0)),""))</f>
        <v/>
      </c>
      <c r="D290" s="13" t="str">
        <f aca="false">IF($A290="","",IFERROR(INDEX('Loans (reference)'!$K$2:$K$500,MATCH($A290,'Loans (reference)'!$A$2:$A$500,0)),""))</f>
        <v/>
      </c>
      <c r="E290" s="15"/>
      <c r="F290" s="16"/>
      <c r="G290" s="17"/>
      <c r="H290" s="17"/>
      <c r="I290" s="17"/>
      <c r="J290" s="17"/>
      <c r="K290" s="18" t="str">
        <f aca="false">IF(COUNT($G290:$I290)=0,"",SUM($G290:$I290))</f>
        <v/>
      </c>
      <c r="L290" s="15"/>
      <c r="M290" s="15"/>
      <c r="N290" s="15"/>
      <c r="O290" s="13" t="str">
        <f aca="false">IF(COUNTA($A290,$E290:$J290,$L290:$N290)=0,"",IF($A290="","Add Loan UID",IF(ISNA(MATCH($A290,'Loans (reference)'!$A$2:$A$500,0)),"UID not in Loans tab",IF($E290="","Add payment no.",IF(COUNTIFS($A$2:$A$300,$A290,$E$2:$E$300,$E290)&gt;1,"Duplicate payment no.",IF($F290="","Add payment date",IF(COUNT($G290:$I290)=0,"Add an amount","Ready")))))))</f>
        <v/>
      </c>
      <c r="P290" s="19"/>
      <c r="Q290" s="20"/>
    </row>
    <row r="291" customFormat="false" ht="15" hidden="false" customHeight="false" outlineLevel="0" collapsed="false">
      <c r="A291" s="12"/>
      <c r="B291" s="13" t="str">
        <f aca="false">IF($A291="","",IFERROR(INDEX('Loans (reference)'!$B$2:$B$500,MATCH($A291,'Loans (reference)'!$A$2:$A$500,0)),"not found"))</f>
        <v/>
      </c>
      <c r="C291" s="14" t="str">
        <f aca="false">IF($A291="","",IFERROR(INDEX('Loans (reference)'!$E$2:$E$500,MATCH($A291,'Loans (reference)'!$A$2:$A$500,0)),""))</f>
        <v/>
      </c>
      <c r="D291" s="13" t="str">
        <f aca="false">IF($A291="","",IFERROR(INDEX('Loans (reference)'!$K$2:$K$500,MATCH($A291,'Loans (reference)'!$A$2:$A$500,0)),""))</f>
        <v/>
      </c>
      <c r="E291" s="15"/>
      <c r="F291" s="16"/>
      <c r="G291" s="17"/>
      <c r="H291" s="17"/>
      <c r="I291" s="17"/>
      <c r="J291" s="17"/>
      <c r="K291" s="18" t="str">
        <f aca="false">IF(COUNT($G291:$I291)=0,"",SUM($G291:$I291))</f>
        <v/>
      </c>
      <c r="L291" s="15"/>
      <c r="M291" s="15"/>
      <c r="N291" s="15"/>
      <c r="O291" s="13" t="str">
        <f aca="false">IF(COUNTA($A291,$E291:$J291,$L291:$N291)=0,"",IF($A291="","Add Loan UID",IF(ISNA(MATCH($A291,'Loans (reference)'!$A$2:$A$500,0)),"UID not in Loans tab",IF($E291="","Add payment no.",IF(COUNTIFS($A$2:$A$300,$A291,$E$2:$E$300,$E291)&gt;1,"Duplicate payment no.",IF($F291="","Add payment date",IF(COUNT($G291:$I291)=0,"Add an amount","Ready")))))))</f>
        <v/>
      </c>
      <c r="P291" s="19"/>
      <c r="Q291" s="20"/>
    </row>
    <row r="292" customFormat="false" ht="15" hidden="false" customHeight="false" outlineLevel="0" collapsed="false">
      <c r="A292" s="12"/>
      <c r="B292" s="13" t="str">
        <f aca="false">IF($A292="","",IFERROR(INDEX('Loans (reference)'!$B$2:$B$500,MATCH($A292,'Loans (reference)'!$A$2:$A$500,0)),"not found"))</f>
        <v/>
      </c>
      <c r="C292" s="14" t="str">
        <f aca="false">IF($A292="","",IFERROR(INDEX('Loans (reference)'!$E$2:$E$500,MATCH($A292,'Loans (reference)'!$A$2:$A$500,0)),""))</f>
        <v/>
      </c>
      <c r="D292" s="13" t="str">
        <f aca="false">IF($A292="","",IFERROR(INDEX('Loans (reference)'!$K$2:$K$500,MATCH($A292,'Loans (reference)'!$A$2:$A$500,0)),""))</f>
        <v/>
      </c>
      <c r="E292" s="15"/>
      <c r="F292" s="16"/>
      <c r="G292" s="17"/>
      <c r="H292" s="17"/>
      <c r="I292" s="17"/>
      <c r="J292" s="17"/>
      <c r="K292" s="18" t="str">
        <f aca="false">IF(COUNT($G292:$I292)=0,"",SUM($G292:$I292))</f>
        <v/>
      </c>
      <c r="L292" s="15"/>
      <c r="M292" s="15"/>
      <c r="N292" s="15"/>
      <c r="O292" s="13" t="str">
        <f aca="false">IF(COUNTA($A292,$E292:$J292,$L292:$N292)=0,"",IF($A292="","Add Loan UID",IF(ISNA(MATCH($A292,'Loans (reference)'!$A$2:$A$500,0)),"UID not in Loans tab",IF($E292="","Add payment no.",IF(COUNTIFS($A$2:$A$300,$A292,$E$2:$E$300,$E292)&gt;1,"Duplicate payment no.",IF($F292="","Add payment date",IF(COUNT($G292:$I292)=0,"Add an amount","Ready")))))))</f>
        <v/>
      </c>
      <c r="P292" s="19"/>
      <c r="Q292" s="20"/>
    </row>
    <row r="293" customFormat="false" ht="15" hidden="false" customHeight="false" outlineLevel="0" collapsed="false">
      <c r="A293" s="12"/>
      <c r="B293" s="13" t="str">
        <f aca="false">IF($A293="","",IFERROR(INDEX('Loans (reference)'!$B$2:$B$500,MATCH($A293,'Loans (reference)'!$A$2:$A$500,0)),"not found"))</f>
        <v/>
      </c>
      <c r="C293" s="14" t="str">
        <f aca="false">IF($A293="","",IFERROR(INDEX('Loans (reference)'!$E$2:$E$500,MATCH($A293,'Loans (reference)'!$A$2:$A$500,0)),""))</f>
        <v/>
      </c>
      <c r="D293" s="13" t="str">
        <f aca="false">IF($A293="","",IFERROR(INDEX('Loans (reference)'!$K$2:$K$500,MATCH($A293,'Loans (reference)'!$A$2:$A$500,0)),""))</f>
        <v/>
      </c>
      <c r="E293" s="15"/>
      <c r="F293" s="16"/>
      <c r="G293" s="17"/>
      <c r="H293" s="17"/>
      <c r="I293" s="17"/>
      <c r="J293" s="17"/>
      <c r="K293" s="18" t="str">
        <f aca="false">IF(COUNT($G293:$I293)=0,"",SUM($G293:$I293))</f>
        <v/>
      </c>
      <c r="L293" s="15"/>
      <c r="M293" s="15"/>
      <c r="N293" s="15"/>
      <c r="O293" s="13" t="str">
        <f aca="false">IF(COUNTA($A293,$E293:$J293,$L293:$N293)=0,"",IF($A293="","Add Loan UID",IF(ISNA(MATCH($A293,'Loans (reference)'!$A$2:$A$500,0)),"UID not in Loans tab",IF($E293="","Add payment no.",IF(COUNTIFS($A$2:$A$300,$A293,$E$2:$E$300,$E293)&gt;1,"Duplicate payment no.",IF($F293="","Add payment date",IF(COUNT($G293:$I293)=0,"Add an amount","Ready")))))))</f>
        <v/>
      </c>
      <c r="P293" s="19"/>
      <c r="Q293" s="20"/>
    </row>
    <row r="294" customFormat="false" ht="15" hidden="false" customHeight="false" outlineLevel="0" collapsed="false">
      <c r="A294" s="12"/>
      <c r="B294" s="13" t="str">
        <f aca="false">IF($A294="","",IFERROR(INDEX('Loans (reference)'!$B$2:$B$500,MATCH($A294,'Loans (reference)'!$A$2:$A$500,0)),"not found"))</f>
        <v/>
      </c>
      <c r="C294" s="14" t="str">
        <f aca="false">IF($A294="","",IFERROR(INDEX('Loans (reference)'!$E$2:$E$500,MATCH($A294,'Loans (reference)'!$A$2:$A$500,0)),""))</f>
        <v/>
      </c>
      <c r="D294" s="13" t="str">
        <f aca="false">IF($A294="","",IFERROR(INDEX('Loans (reference)'!$K$2:$K$500,MATCH($A294,'Loans (reference)'!$A$2:$A$500,0)),""))</f>
        <v/>
      </c>
      <c r="E294" s="15"/>
      <c r="F294" s="16"/>
      <c r="G294" s="17"/>
      <c r="H294" s="17"/>
      <c r="I294" s="17"/>
      <c r="J294" s="17"/>
      <c r="K294" s="18" t="str">
        <f aca="false">IF(COUNT($G294:$I294)=0,"",SUM($G294:$I294))</f>
        <v/>
      </c>
      <c r="L294" s="15"/>
      <c r="M294" s="15"/>
      <c r="N294" s="15"/>
      <c r="O294" s="13" t="str">
        <f aca="false">IF(COUNTA($A294,$E294:$J294,$L294:$N294)=0,"",IF($A294="","Add Loan UID",IF(ISNA(MATCH($A294,'Loans (reference)'!$A$2:$A$500,0)),"UID not in Loans tab",IF($E294="","Add payment no.",IF(COUNTIFS($A$2:$A$300,$A294,$E$2:$E$300,$E294)&gt;1,"Duplicate payment no.",IF($F294="","Add payment date",IF(COUNT($G294:$I294)=0,"Add an amount","Ready")))))))</f>
        <v/>
      </c>
      <c r="P294" s="19"/>
      <c r="Q294" s="20"/>
    </row>
    <row r="295" customFormat="false" ht="15" hidden="false" customHeight="false" outlineLevel="0" collapsed="false">
      <c r="A295" s="12"/>
      <c r="B295" s="13" t="str">
        <f aca="false">IF($A295="","",IFERROR(INDEX('Loans (reference)'!$B$2:$B$500,MATCH($A295,'Loans (reference)'!$A$2:$A$500,0)),"not found"))</f>
        <v/>
      </c>
      <c r="C295" s="14" t="str">
        <f aca="false">IF($A295="","",IFERROR(INDEX('Loans (reference)'!$E$2:$E$500,MATCH($A295,'Loans (reference)'!$A$2:$A$500,0)),""))</f>
        <v/>
      </c>
      <c r="D295" s="13" t="str">
        <f aca="false">IF($A295="","",IFERROR(INDEX('Loans (reference)'!$K$2:$K$500,MATCH($A295,'Loans (reference)'!$A$2:$A$500,0)),""))</f>
        <v/>
      </c>
      <c r="E295" s="15"/>
      <c r="F295" s="16"/>
      <c r="G295" s="17"/>
      <c r="H295" s="17"/>
      <c r="I295" s="17"/>
      <c r="J295" s="17"/>
      <c r="K295" s="18" t="str">
        <f aca="false">IF(COUNT($G295:$I295)=0,"",SUM($G295:$I295))</f>
        <v/>
      </c>
      <c r="L295" s="15"/>
      <c r="M295" s="15"/>
      <c r="N295" s="15"/>
      <c r="O295" s="13" t="str">
        <f aca="false">IF(COUNTA($A295,$E295:$J295,$L295:$N295)=0,"",IF($A295="","Add Loan UID",IF(ISNA(MATCH($A295,'Loans (reference)'!$A$2:$A$500,0)),"UID not in Loans tab",IF($E295="","Add payment no.",IF(COUNTIFS($A$2:$A$300,$A295,$E$2:$E$300,$E295)&gt;1,"Duplicate payment no.",IF($F295="","Add payment date",IF(COUNT($G295:$I295)=0,"Add an amount","Ready")))))))</f>
        <v/>
      </c>
      <c r="P295" s="19"/>
      <c r="Q295" s="20"/>
    </row>
    <row r="296" customFormat="false" ht="15" hidden="false" customHeight="false" outlineLevel="0" collapsed="false">
      <c r="A296" s="12"/>
      <c r="B296" s="13" t="str">
        <f aca="false">IF($A296="","",IFERROR(INDEX('Loans (reference)'!$B$2:$B$500,MATCH($A296,'Loans (reference)'!$A$2:$A$500,0)),"not found"))</f>
        <v/>
      </c>
      <c r="C296" s="14" t="str">
        <f aca="false">IF($A296="","",IFERROR(INDEX('Loans (reference)'!$E$2:$E$500,MATCH($A296,'Loans (reference)'!$A$2:$A$500,0)),""))</f>
        <v/>
      </c>
      <c r="D296" s="13" t="str">
        <f aca="false">IF($A296="","",IFERROR(INDEX('Loans (reference)'!$K$2:$K$500,MATCH($A296,'Loans (reference)'!$A$2:$A$500,0)),""))</f>
        <v/>
      </c>
      <c r="E296" s="15"/>
      <c r="F296" s="16"/>
      <c r="G296" s="17"/>
      <c r="H296" s="17"/>
      <c r="I296" s="17"/>
      <c r="J296" s="17"/>
      <c r="K296" s="18" t="str">
        <f aca="false">IF(COUNT($G296:$I296)=0,"",SUM($G296:$I296))</f>
        <v/>
      </c>
      <c r="L296" s="15"/>
      <c r="M296" s="15"/>
      <c r="N296" s="15"/>
      <c r="O296" s="13" t="str">
        <f aca="false">IF(COUNTA($A296,$E296:$J296,$L296:$N296)=0,"",IF($A296="","Add Loan UID",IF(ISNA(MATCH($A296,'Loans (reference)'!$A$2:$A$500,0)),"UID not in Loans tab",IF($E296="","Add payment no.",IF(COUNTIFS($A$2:$A$300,$A296,$E$2:$E$300,$E296)&gt;1,"Duplicate payment no.",IF($F296="","Add payment date",IF(COUNT($G296:$I296)=0,"Add an amount","Ready")))))))</f>
        <v/>
      </c>
      <c r="P296" s="19"/>
      <c r="Q296" s="20"/>
    </row>
    <row r="297" customFormat="false" ht="15" hidden="false" customHeight="false" outlineLevel="0" collapsed="false">
      <c r="A297" s="12"/>
      <c r="B297" s="13" t="str">
        <f aca="false">IF($A297="","",IFERROR(INDEX('Loans (reference)'!$B$2:$B$500,MATCH($A297,'Loans (reference)'!$A$2:$A$500,0)),"not found"))</f>
        <v/>
      </c>
      <c r="C297" s="14" t="str">
        <f aca="false">IF($A297="","",IFERROR(INDEX('Loans (reference)'!$E$2:$E$500,MATCH($A297,'Loans (reference)'!$A$2:$A$500,0)),""))</f>
        <v/>
      </c>
      <c r="D297" s="13" t="str">
        <f aca="false">IF($A297="","",IFERROR(INDEX('Loans (reference)'!$K$2:$K$500,MATCH($A297,'Loans (reference)'!$A$2:$A$500,0)),""))</f>
        <v/>
      </c>
      <c r="E297" s="15"/>
      <c r="F297" s="16"/>
      <c r="G297" s="17"/>
      <c r="H297" s="17"/>
      <c r="I297" s="17"/>
      <c r="J297" s="17"/>
      <c r="K297" s="18" t="str">
        <f aca="false">IF(COUNT($G297:$I297)=0,"",SUM($G297:$I297))</f>
        <v/>
      </c>
      <c r="L297" s="15"/>
      <c r="M297" s="15"/>
      <c r="N297" s="15"/>
      <c r="O297" s="13" t="str">
        <f aca="false">IF(COUNTA($A297,$E297:$J297,$L297:$N297)=0,"",IF($A297="","Add Loan UID",IF(ISNA(MATCH($A297,'Loans (reference)'!$A$2:$A$500,0)),"UID not in Loans tab",IF($E297="","Add payment no.",IF(COUNTIFS($A$2:$A$300,$A297,$E$2:$E$300,$E297)&gt;1,"Duplicate payment no.",IF($F297="","Add payment date",IF(COUNT($G297:$I297)=0,"Add an amount","Ready")))))))</f>
        <v/>
      </c>
      <c r="P297" s="19"/>
      <c r="Q297" s="20"/>
    </row>
    <row r="298" customFormat="false" ht="15" hidden="false" customHeight="false" outlineLevel="0" collapsed="false">
      <c r="A298" s="12"/>
      <c r="B298" s="13" t="str">
        <f aca="false">IF($A298="","",IFERROR(INDEX('Loans (reference)'!$B$2:$B$500,MATCH($A298,'Loans (reference)'!$A$2:$A$500,0)),"not found"))</f>
        <v/>
      </c>
      <c r="C298" s="14" t="str">
        <f aca="false">IF($A298="","",IFERROR(INDEX('Loans (reference)'!$E$2:$E$500,MATCH($A298,'Loans (reference)'!$A$2:$A$500,0)),""))</f>
        <v/>
      </c>
      <c r="D298" s="13" t="str">
        <f aca="false">IF($A298="","",IFERROR(INDEX('Loans (reference)'!$K$2:$K$500,MATCH($A298,'Loans (reference)'!$A$2:$A$500,0)),""))</f>
        <v/>
      </c>
      <c r="E298" s="15"/>
      <c r="F298" s="16"/>
      <c r="G298" s="17"/>
      <c r="H298" s="17"/>
      <c r="I298" s="17"/>
      <c r="J298" s="17"/>
      <c r="K298" s="18" t="str">
        <f aca="false">IF(COUNT($G298:$I298)=0,"",SUM($G298:$I298))</f>
        <v/>
      </c>
      <c r="L298" s="15"/>
      <c r="M298" s="15"/>
      <c r="N298" s="15"/>
      <c r="O298" s="13" t="str">
        <f aca="false">IF(COUNTA($A298,$E298:$J298,$L298:$N298)=0,"",IF($A298="","Add Loan UID",IF(ISNA(MATCH($A298,'Loans (reference)'!$A$2:$A$500,0)),"UID not in Loans tab",IF($E298="","Add payment no.",IF(COUNTIFS($A$2:$A$300,$A298,$E$2:$E$300,$E298)&gt;1,"Duplicate payment no.",IF($F298="","Add payment date",IF(COUNT($G298:$I298)=0,"Add an amount","Ready")))))))</f>
        <v/>
      </c>
      <c r="P298" s="19"/>
      <c r="Q298" s="20"/>
    </row>
    <row r="299" customFormat="false" ht="15" hidden="false" customHeight="false" outlineLevel="0" collapsed="false">
      <c r="A299" s="12"/>
      <c r="B299" s="13" t="str">
        <f aca="false">IF($A299="","",IFERROR(INDEX('Loans (reference)'!$B$2:$B$500,MATCH($A299,'Loans (reference)'!$A$2:$A$500,0)),"not found"))</f>
        <v/>
      </c>
      <c r="C299" s="14" t="str">
        <f aca="false">IF($A299="","",IFERROR(INDEX('Loans (reference)'!$E$2:$E$500,MATCH($A299,'Loans (reference)'!$A$2:$A$500,0)),""))</f>
        <v/>
      </c>
      <c r="D299" s="13" t="str">
        <f aca="false">IF($A299="","",IFERROR(INDEX('Loans (reference)'!$K$2:$K$500,MATCH($A299,'Loans (reference)'!$A$2:$A$500,0)),""))</f>
        <v/>
      </c>
      <c r="E299" s="15"/>
      <c r="F299" s="16"/>
      <c r="G299" s="17"/>
      <c r="H299" s="17"/>
      <c r="I299" s="17"/>
      <c r="J299" s="17"/>
      <c r="K299" s="18" t="str">
        <f aca="false">IF(COUNT($G299:$I299)=0,"",SUM($G299:$I299))</f>
        <v/>
      </c>
      <c r="L299" s="15"/>
      <c r="M299" s="15"/>
      <c r="N299" s="15"/>
      <c r="O299" s="13" t="str">
        <f aca="false">IF(COUNTA($A299,$E299:$J299,$L299:$N299)=0,"",IF($A299="","Add Loan UID",IF(ISNA(MATCH($A299,'Loans (reference)'!$A$2:$A$500,0)),"UID not in Loans tab",IF($E299="","Add payment no.",IF(COUNTIFS($A$2:$A$300,$A299,$E$2:$E$300,$E299)&gt;1,"Duplicate payment no.",IF($F299="","Add payment date",IF(COUNT($G299:$I299)=0,"Add an amount","Ready")))))))</f>
        <v/>
      </c>
      <c r="P299" s="19"/>
      <c r="Q299" s="20"/>
    </row>
    <row r="300" customFormat="false" ht="15" hidden="false" customHeight="false" outlineLevel="0" collapsed="false">
      <c r="A300" s="12"/>
      <c r="B300" s="13" t="str">
        <f aca="false">IF($A300="","",IFERROR(INDEX('Loans (reference)'!$B$2:$B$500,MATCH($A300,'Loans (reference)'!$A$2:$A$500,0)),"not found"))</f>
        <v/>
      </c>
      <c r="C300" s="14" t="str">
        <f aca="false">IF($A300="","",IFERROR(INDEX('Loans (reference)'!$E$2:$E$500,MATCH($A300,'Loans (reference)'!$A$2:$A$500,0)),""))</f>
        <v/>
      </c>
      <c r="D300" s="13" t="str">
        <f aca="false">IF($A300="","",IFERROR(INDEX('Loans (reference)'!$K$2:$K$500,MATCH($A300,'Loans (reference)'!$A$2:$A$500,0)),""))</f>
        <v/>
      </c>
      <c r="E300" s="15"/>
      <c r="F300" s="16"/>
      <c r="G300" s="17"/>
      <c r="H300" s="17"/>
      <c r="I300" s="17"/>
      <c r="J300" s="17"/>
      <c r="K300" s="18" t="str">
        <f aca="false">IF(COUNT($G300:$I300)=0,"",SUM($G300:$I300))</f>
        <v/>
      </c>
      <c r="L300" s="15"/>
      <c r="M300" s="15"/>
      <c r="N300" s="15"/>
      <c r="O300" s="13" t="str">
        <f aca="false">IF(COUNTA($A300,$E300:$J300,$L300:$N300)=0,"",IF($A300="","Add Loan UID",IF(ISNA(MATCH($A300,'Loans (reference)'!$A$2:$A$500,0)),"UID not in Loans tab",IF($E300="","Add payment no.",IF(COUNTIFS($A$2:$A$300,$A300,$E$2:$E$300,$E300)&gt;1,"Duplicate payment no.",IF($F300="","Add payment date",IF(COUNT($G300:$I300)=0,"Add an amount","Ready")))))))</f>
        <v/>
      </c>
      <c r="P300" s="19"/>
      <c r="Q300" s="20"/>
    </row>
  </sheetData>
  <autoFilter ref="A1:Q300"/>
  <conditionalFormatting sqref="O2:O300">
    <cfRule type="expression" priority="2" aboveAverage="0" equalAverage="0" bottom="0" percent="0" rank="0" text="" dxfId="13">
      <formula>$O2="Ready"</formula>
    </cfRule>
    <cfRule type="expression" priority="3" aboveAverage="0" equalAverage="0" bottom="0" percent="0" rank="0" text="" dxfId="14">
      <formula>AND($O2&lt;&gt;"",$O2&lt;&gt;"Ready")</formula>
    </cfRule>
  </conditionalFormatting>
  <conditionalFormatting sqref="P2:P300">
    <cfRule type="expression" priority="4" aboveAverage="0" equalAverage="0" bottom="0" percent="0" rank="0" text="" dxfId="14">
      <formula>LEFT($P2,5)="Error"</formula>
    </cfRule>
  </conditionalFormatting>
  <conditionalFormatting sqref="B2:B300">
    <cfRule type="expression" priority="5" aboveAverage="0" equalAverage="0" bottom="0" percent="0" rank="0" text="" dxfId="15">
      <formula>$B2="not found"</formula>
    </cfRule>
  </conditionalFormatting>
  <conditionalFormatting sqref="C2:C300">
    <cfRule type="expression" priority="6" aboveAverage="0" equalAverage="0" bottom="0" percent="0" rank="0" text="" dxfId="16">
      <formula>$C2="ECF1"</formula>
    </cfRule>
    <cfRule type="expression" priority="7" aboveAverage="0" equalAverage="0" bottom="0" percent="0" rank="0" text="" dxfId="13">
      <formula>$C2="ECF2"</formula>
    </cfRule>
  </conditionalFormatting>
  <dataValidations count="4">
    <dataValidation allowBlank="true" error="Pick a UID from the Loans tab. If the loan is new, create it in EP Central first." errorStyle="stop" errorTitle="Unknown loan" operator="between" showDropDown="false" showErrorMessage="true" showInputMessage="false" sqref="A2:A300" type="list">
      <formula1>'Loans (reference)'!$A$2:$A$500</formula1>
      <formula2>0</formula2>
    </dataValidation>
    <dataValidation allowBlank="true" error="Enter a date, for example 31-Aug-2026." errorStyle="stop" errorTitle="Payment date" operator="greaterThan" showDropDown="false" showErrorMessage="true" showInputMessage="false" sqref="F2:F300" type="date">
      <formula1>40179</formula1>
      <formula2>0</formula2>
    </dataValidation>
    <dataValidation allowBlank="true" error="Enter a number, 0 or more, without the $ sign." errorStyle="stop" errorTitle="Amount" operator="greaterThanOrEqual" showDropDown="false" showErrorMessage="true" showInputMessage="false" sqref="G2:J300" type="decimal">
      <formula1>0</formula1>
      <formula2>0</formula2>
    </dataValidation>
    <dataValidation allowBlank="true" error="Enter a whole number: 1, 2, 3 ..." errorStyle="stop" errorTitle="Payment no." operator="greaterThan" showDropDown="false" showErrorMessage="true" showInputMessage="false" sqref="E2:E300"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2" min="2" style="0" width="26"/>
    <col collapsed="false" customWidth="true" hidden="false" outlineLevel="0" max="3" min="3" style="0" width="13"/>
    <col collapsed="false" customWidth="true" hidden="false" outlineLevel="0" max="5" min="4" style="0" width="8"/>
    <col collapsed="false" customWidth="true" hidden="false" outlineLevel="0" max="6" min="6" style="0" width="9"/>
    <col collapsed="false" customWidth="true" hidden="false" outlineLevel="0" max="7" min="7" style="0" width="10"/>
    <col collapsed="false" customWidth="true" hidden="false" outlineLevel="0" max="8" min="8" style="0" width="15"/>
    <col collapsed="false" customWidth="true" hidden="false" outlineLevel="0" max="9" min="9" style="0" width="22"/>
    <col collapsed="false" customWidth="true" hidden="false" outlineLevel="0" max="10" min="10" style="0" width="18"/>
    <col collapsed="false" customWidth="true" hidden="false" outlineLevel="0" max="11" min="11" style="0" width="20"/>
    <col collapsed="false" customWidth="true" hidden="false" outlineLevel="0" max="13" min="13" style="0" width="80"/>
  </cols>
  <sheetData>
    <row r="1" customFormat="false" ht="31.5" hidden="false" customHeight="true" outlineLevel="0" collapsed="false">
      <c r="A1" s="9" t="s">
        <v>31</v>
      </c>
      <c r="B1" s="9" t="s">
        <v>32</v>
      </c>
      <c r="C1" s="9" t="s">
        <v>55</v>
      </c>
      <c r="D1" s="9" t="s">
        <v>56</v>
      </c>
      <c r="E1" s="9" t="s">
        <v>33</v>
      </c>
      <c r="F1" s="9" t="s">
        <v>57</v>
      </c>
      <c r="G1" s="9" t="s">
        <v>58</v>
      </c>
      <c r="H1" s="9" t="s">
        <v>59</v>
      </c>
      <c r="I1" s="9" t="s">
        <v>60</v>
      </c>
      <c r="J1" s="9" t="s">
        <v>61</v>
      </c>
      <c r="K1" s="9" t="s">
        <v>62</v>
      </c>
      <c r="M1" s="21" t="s">
        <v>63</v>
      </c>
    </row>
    <row r="2" customFormat="false" ht="15" hidden="false" customHeight="false" outlineLevel="0" collapsed="false">
      <c r="A2" s="22" t="s">
        <v>48</v>
      </c>
      <c r="B2" s="19" t="s">
        <v>64</v>
      </c>
      <c r="C2" s="19" t="s">
        <v>65</v>
      </c>
      <c r="D2" s="19" t="s">
        <v>66</v>
      </c>
      <c r="E2" s="19" t="s">
        <v>67</v>
      </c>
      <c r="F2" s="19" t="n">
        <v>3</v>
      </c>
      <c r="G2" s="19" t="s">
        <v>68</v>
      </c>
      <c r="H2" s="23" t="n">
        <v>200000</v>
      </c>
      <c r="I2" s="23" t="n">
        <v>133333</v>
      </c>
      <c r="J2" s="19" t="n">
        <v>10</v>
      </c>
      <c r="K2" s="19" t="str">
        <f aca="false">D2&amp;" · #"&amp;F2</f>
        <v>CGA · #3</v>
      </c>
      <c r="M2" s="24" t="s">
        <v>69</v>
      </c>
    </row>
    <row r="3" customFormat="false" ht="15" hidden="false" customHeight="false" outlineLevel="0" collapsed="false">
      <c r="A3" s="22" t="s">
        <v>52</v>
      </c>
      <c r="B3" s="19" t="s">
        <v>70</v>
      </c>
      <c r="C3" s="19" t="s">
        <v>71</v>
      </c>
      <c r="D3" s="19" t="s">
        <v>72</v>
      </c>
      <c r="E3" s="19" t="s">
        <v>67</v>
      </c>
      <c r="F3" s="19" t="n">
        <v>2</v>
      </c>
      <c r="G3" s="19" t="s">
        <v>68</v>
      </c>
      <c r="H3" s="23" t="n">
        <v>1600000</v>
      </c>
      <c r="I3" s="23" t="n">
        <v>1133333</v>
      </c>
      <c r="J3" s="19" t="n">
        <v>10</v>
      </c>
      <c r="K3" s="19" t="str">
        <f aca="false">D3&amp;" · #"&amp;F3</f>
        <v>TRL · #2</v>
      </c>
      <c r="M3" s="25" t="s">
        <v>73</v>
      </c>
    </row>
    <row r="4" customFormat="false" ht="15" hidden="false" customHeight="false" outlineLevel="0" collapsed="false">
      <c r="A4" s="22" t="s">
        <v>74</v>
      </c>
      <c r="B4" s="19" t="s">
        <v>75</v>
      </c>
      <c r="C4" s="19" t="s">
        <v>76</v>
      </c>
      <c r="D4" s="19" t="s">
        <v>66</v>
      </c>
      <c r="E4" s="19" t="s">
        <v>67</v>
      </c>
      <c r="F4" s="19" t="n">
        <v>1</v>
      </c>
      <c r="G4" s="19" t="s">
        <v>68</v>
      </c>
      <c r="H4" s="23" t="n">
        <v>480000</v>
      </c>
      <c r="I4" s="23" t="n">
        <v>480000</v>
      </c>
      <c r="J4" s="19" t="n">
        <v>12</v>
      </c>
      <c r="K4" s="19" t="str">
        <f aca="false">D4&amp;" · #"&amp;F4</f>
        <v>CGA · #1</v>
      </c>
    </row>
    <row r="5" customFormat="false" ht="15" hidden="false" customHeight="false" outlineLevel="0" collapsed="false">
      <c r="A5" s="22" t="s">
        <v>77</v>
      </c>
      <c r="B5" s="19" t="s">
        <v>78</v>
      </c>
      <c r="C5" s="19" t="s">
        <v>76</v>
      </c>
      <c r="D5" s="19" t="s">
        <v>66</v>
      </c>
      <c r="E5" s="19" t="s">
        <v>67</v>
      </c>
      <c r="F5" s="19" t="n">
        <v>1</v>
      </c>
      <c r="G5" s="19" t="s">
        <v>68</v>
      </c>
      <c r="H5" s="23" t="n">
        <v>800000</v>
      </c>
      <c r="I5" s="23" t="n">
        <v>86547</v>
      </c>
      <c r="J5" s="19" t="n">
        <v>12</v>
      </c>
      <c r="K5" s="19" t="str">
        <f aca="false">D5&amp;" · #"&amp;F5</f>
        <v>CGA · #1</v>
      </c>
    </row>
    <row r="6" customFormat="false" ht="15" hidden="false" customHeight="false" outlineLevel="0" collapsed="false">
      <c r="A6" s="22" t="s">
        <v>79</v>
      </c>
      <c r="B6" s="19" t="s">
        <v>80</v>
      </c>
      <c r="C6" s="19" t="s">
        <v>76</v>
      </c>
      <c r="D6" s="19" t="s">
        <v>72</v>
      </c>
      <c r="E6" s="19" t="s">
        <v>67</v>
      </c>
      <c r="F6" s="19" t="n">
        <v>1</v>
      </c>
      <c r="G6" s="19" t="s">
        <v>68</v>
      </c>
      <c r="H6" s="23" t="n">
        <v>240000</v>
      </c>
      <c r="I6" s="23" t="n">
        <v>160000</v>
      </c>
      <c r="J6" s="19" t="n">
        <v>4</v>
      </c>
      <c r="K6" s="19" t="str">
        <f aca="false">D6&amp;" · #"&amp;F6</f>
        <v>TRL · #1</v>
      </c>
    </row>
    <row r="7" customFormat="false" ht="15" hidden="false" customHeight="false" outlineLevel="0" collapsed="false">
      <c r="A7" s="22" t="s">
        <v>81</v>
      </c>
      <c r="B7" s="19" t="s">
        <v>82</v>
      </c>
      <c r="C7" s="19" t="s">
        <v>71</v>
      </c>
      <c r="D7" s="19" t="s">
        <v>66</v>
      </c>
      <c r="E7" s="19" t="s">
        <v>67</v>
      </c>
      <c r="F7" s="19" t="n">
        <v>2</v>
      </c>
      <c r="G7" s="19" t="s">
        <v>68</v>
      </c>
      <c r="H7" s="23" t="n">
        <v>400000</v>
      </c>
      <c r="I7" s="23" t="n">
        <v>400000</v>
      </c>
      <c r="J7" s="19" t="n">
        <v>15</v>
      </c>
      <c r="K7" s="19" t="str">
        <f aca="false">D7&amp;" · #"&amp;F7</f>
        <v>CGA · #2</v>
      </c>
    </row>
    <row r="8" customFormat="false" ht="15" hidden="false" customHeight="false" outlineLevel="0" collapsed="false">
      <c r="A8" s="22" t="s">
        <v>83</v>
      </c>
      <c r="B8" s="19" t="s">
        <v>84</v>
      </c>
      <c r="C8" s="19" t="s">
        <v>76</v>
      </c>
      <c r="D8" s="19" t="s">
        <v>66</v>
      </c>
      <c r="E8" s="19" t="s">
        <v>85</v>
      </c>
      <c r="F8" s="19" t="n">
        <v>1</v>
      </c>
      <c r="G8" s="19" t="s">
        <v>68</v>
      </c>
      <c r="H8" s="23" t="n">
        <v>1648000</v>
      </c>
      <c r="I8" s="23" t="n">
        <v>478105</v>
      </c>
      <c r="J8" s="19" t="n">
        <v>31</v>
      </c>
      <c r="K8" s="19" t="str">
        <f aca="false">D8&amp;" · #"&amp;F8</f>
        <v>CGA · #1</v>
      </c>
    </row>
    <row r="9" customFormat="false" ht="15" hidden="false" customHeight="false" outlineLevel="0" collapsed="false">
      <c r="A9" s="22" t="s">
        <v>53</v>
      </c>
      <c r="B9" s="19" t="s">
        <v>86</v>
      </c>
      <c r="C9" s="19" t="s">
        <v>76</v>
      </c>
      <c r="D9" s="19" t="s">
        <v>87</v>
      </c>
      <c r="E9" s="19" t="s">
        <v>85</v>
      </c>
      <c r="F9" s="19" t="n">
        <v>1</v>
      </c>
      <c r="G9" s="19" t="s">
        <v>68</v>
      </c>
      <c r="H9" s="23" t="n">
        <v>400000</v>
      </c>
      <c r="I9" s="23" t="n">
        <v>12000</v>
      </c>
      <c r="J9" s="19" t="n">
        <v>44</v>
      </c>
      <c r="K9" s="19" t="str">
        <f aca="false">D9&amp;" · #"&amp;F9</f>
        <v>RBF · #1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2026-10-02T17:17:03Z</dcterms:created>
  <dc:creator>openpyxl</dc:creator>
  <dc:description/>
  <dc:language>en-US</dc:language>
  <cp:lastModifiedBy/>
  <dcterms:modified xsi:type="dcterms:W3CDTF">2026-10-02T17:17:03Z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